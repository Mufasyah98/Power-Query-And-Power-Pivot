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ownloads\"/>
    </mc:Choice>
  </mc:AlternateContent>
  <xr:revisionPtr revIDLastSave="0" documentId="13_ncr:1_{61401AEC-FEDA-4FFA-88F7-88B9B9796C30}" xr6:coauthVersionLast="47" xr6:coauthVersionMax="47" xr10:uidLastSave="{00000000-0000-0000-0000-000000000000}"/>
  <bookViews>
    <workbookView xWindow="-108" yWindow="-108" windowWidth="23256" windowHeight="12456" tabRatio="501" firstSheet="10" activeTab="12" xr2:uid="{411674EF-BBF2-414D-93E9-8F28ACB202DD}"/>
  </bookViews>
  <sheets>
    <sheet name="1. Table of Contents" sheetId="1" r:id="rId1"/>
    <sheet name="References" sheetId="9" r:id="rId2"/>
    <sheet name="2. Intermediate Formulas" sheetId="2" r:id="rId3"/>
    <sheet name="3. Advanced Formulas" sheetId="3" r:id="rId4"/>
    <sheet name="4. Data Analysis Tools" sheetId="4" r:id="rId5"/>
    <sheet name="Data Validation" sheetId="20" r:id="rId6"/>
    <sheet name="5. Advanced Features" sheetId="5" r:id="rId7"/>
    <sheet name="6. Case Study - Data" sheetId="6" r:id="rId8"/>
    <sheet name="Filter" sheetId="11" r:id="rId9"/>
    <sheet name="7. Case Study - Analysis" sheetId="7" r:id="rId10"/>
    <sheet name="What-If Analysis Exercises" sheetId="16" r:id="rId11"/>
    <sheet name="8. Practice Exercises" sheetId="8" r:id="rId12"/>
    <sheet name="9. Data Analysis ToolPak" sheetId="22" r:id="rId13"/>
  </sheets>
  <definedNames>
    <definedName name="_xlnm._FilterDatabase" localSheetId="8" hidden="1">Filter!$A$4:$H$34</definedName>
    <definedName name="solver_adj" localSheetId="10" hidden="1">'What-If Analysis Exercises'!$B$123,'What-If Analysis Exercises'!$B$124,'What-If Analysis Exercises'!$B$125,'What-If Analysis Exercises'!$B$126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lhs1" localSheetId="10" hidden="1">'What-If Analysis Exercises'!$B$123</definedName>
    <definedName name="solver_lhs10" localSheetId="10" hidden="1">'What-If Analysis Exercises'!$B$128</definedName>
    <definedName name="solver_lhs2" localSheetId="10" hidden="1">'What-If Analysis Exercises'!$B$123</definedName>
    <definedName name="solver_lhs3" localSheetId="10" hidden="1">'What-If Analysis Exercises'!$B$123:$B$126</definedName>
    <definedName name="solver_lhs4" localSheetId="10" hidden="1">'What-If Analysis Exercises'!$B$124</definedName>
    <definedName name="solver_lhs5" localSheetId="10" hidden="1">'What-If Analysis Exercises'!$B$124</definedName>
    <definedName name="solver_lhs6" localSheetId="10" hidden="1">'What-If Analysis Exercises'!$B$125</definedName>
    <definedName name="solver_lhs7" localSheetId="10" hidden="1">'What-If Analysis Exercises'!$B$125</definedName>
    <definedName name="solver_lhs8" localSheetId="10" hidden="1">'What-If Analysis Exercises'!$B$126</definedName>
    <definedName name="solver_lhs9" localSheetId="10" hidden="1">'What-If Analysis Exercises'!$B$126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10</definedName>
    <definedName name="solver_nwt" localSheetId="10" hidden="1">1</definedName>
    <definedName name="solver_opt" localSheetId="10" hidden="1">'What-If Analysis Exercises'!$D$128</definedName>
    <definedName name="solver_pre" localSheetId="10" hidden="1">0.000001</definedName>
    <definedName name="solver_rbv" localSheetId="10" hidden="1">1</definedName>
    <definedName name="solver_rel1" localSheetId="10" hidden="1">1</definedName>
    <definedName name="solver_rel10" localSheetId="10" hidden="1">2</definedName>
    <definedName name="solver_rel2" localSheetId="10" hidden="1">3</definedName>
    <definedName name="solver_rel3" localSheetId="10" hidden="1">3</definedName>
    <definedName name="solver_rel4" localSheetId="10" hidden="1">1</definedName>
    <definedName name="solver_rel5" localSheetId="10" hidden="1">3</definedName>
    <definedName name="solver_rel6" localSheetId="10" hidden="1">1</definedName>
    <definedName name="solver_rel7" localSheetId="10" hidden="1">3</definedName>
    <definedName name="solver_rel8" localSheetId="10" hidden="1">1</definedName>
    <definedName name="solver_rel9" localSheetId="10" hidden="1">3</definedName>
    <definedName name="solver_rhs1" localSheetId="10" hidden="1">'What-If Analysis Exercises'!$F$123</definedName>
    <definedName name="solver_rhs10" localSheetId="10" hidden="1">50000</definedName>
    <definedName name="solver_rhs2" localSheetId="10" hidden="1">'What-If Analysis Exercises'!$E$123</definedName>
    <definedName name="solver_rhs3" localSheetId="10" hidden="1">0</definedName>
    <definedName name="solver_rhs4" localSheetId="10" hidden="1">'What-If Analysis Exercises'!$F$124</definedName>
    <definedName name="solver_rhs5" localSheetId="10" hidden="1">'What-If Analysis Exercises'!$E$124</definedName>
    <definedName name="solver_rhs6" localSheetId="10" hidden="1">'What-If Analysis Exercises'!$F$125</definedName>
    <definedName name="solver_rhs7" localSheetId="10" hidden="1">'What-If Analysis Exercises'!$E$125</definedName>
    <definedName name="solver_rhs8" localSheetId="10" hidden="1">'What-If Analysis Exercises'!$F$126</definedName>
    <definedName name="solver_rhs9" localSheetId="10" hidden="1">'What-If Analysis Exercises'!$E$126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1</definedName>
    <definedName name="solver_val" localSheetId="10" hidden="1">0</definedName>
    <definedName name="solver_ver" localSheetId="10" hidden="1">3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211" i="16" l="1"/>
  <c r="C210" i="16"/>
  <c r="C209" i="16"/>
  <c r="C208" i="16"/>
  <c r="C207" i="16"/>
  <c r="C206" i="16"/>
  <c r="A242" i="16"/>
  <c r="B227" i="16"/>
  <c r="B211" i="16"/>
  <c r="B210" i="16"/>
  <c r="B209" i="16"/>
  <c r="B208" i="16"/>
  <c r="B207" i="16"/>
  <c r="B206" i="16"/>
  <c r="B121" i="20"/>
  <c r="B122" i="20"/>
  <c r="B123" i="20"/>
  <c r="B124" i="20"/>
  <c r="B125" i="20"/>
  <c r="B126" i="20"/>
  <c r="B127" i="20"/>
  <c r="B128" i="20"/>
  <c r="D103" i="20"/>
  <c r="D102" i="20"/>
  <c r="D101" i="20"/>
  <c r="D100" i="20"/>
  <c r="D99" i="20"/>
  <c r="D98" i="20"/>
  <c r="D97" i="20"/>
  <c r="D24" i="20"/>
  <c r="B132" i="16"/>
  <c r="B133" i="16" s="1"/>
  <c r="D126" i="16"/>
  <c r="D125" i="16"/>
  <c r="D124" i="16"/>
  <c r="D123" i="16"/>
  <c r="D128" i="16" s="1"/>
  <c r="B70" i="16"/>
  <c r="D66" i="16"/>
  <c r="B53" i="16"/>
  <c r="E49" i="16"/>
  <c r="B34" i="16"/>
  <c r="C21" i="16"/>
  <c r="B21" i="16"/>
  <c r="C20" i="16"/>
  <c r="B20" i="16"/>
  <c r="C19" i="16"/>
  <c r="B19" i="16"/>
  <c r="C18" i="16"/>
  <c r="B18" i="16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K16" i="6"/>
  <c r="H16" i="6"/>
  <c r="K15" i="6"/>
  <c r="H15" i="6"/>
  <c r="K14" i="6"/>
  <c r="H14" i="6"/>
  <c r="K13" i="6"/>
  <c r="H13" i="6"/>
  <c r="K12" i="6"/>
  <c r="H12" i="6"/>
  <c r="K11" i="6"/>
  <c r="H11" i="6"/>
  <c r="D86" i="3"/>
  <c r="B86" i="3"/>
  <c r="D85" i="3"/>
  <c r="B85" i="3"/>
  <c r="D84" i="3"/>
  <c r="B84" i="3"/>
  <c r="D83" i="3"/>
  <c r="B83" i="3"/>
  <c r="C70" i="3"/>
  <c r="C69" i="3"/>
  <c r="C68" i="3" a="1"/>
  <c r="C68" i="3" s="1"/>
  <c r="C67" i="3" a="1"/>
  <c r="C67" i="3" s="1"/>
  <c r="C61" i="3" a="1"/>
  <c r="C61" i="3" s="1"/>
  <c r="H37" i="2"/>
  <c r="H36" i="2"/>
  <c r="H35" i="2"/>
  <c r="H34" i="2"/>
  <c r="F58" i="9"/>
  <c r="E58" i="9"/>
  <c r="D58" i="9"/>
  <c r="C58" i="9"/>
  <c r="B58" i="9"/>
  <c r="F57" i="9"/>
  <c r="E57" i="9"/>
  <c r="D57" i="9"/>
  <c r="C57" i="9"/>
  <c r="B57" i="9"/>
  <c r="F56" i="9"/>
  <c r="E56" i="9"/>
  <c r="D56" i="9"/>
  <c r="C56" i="9"/>
  <c r="B56" i="9"/>
  <c r="F55" i="9"/>
  <c r="E55" i="9"/>
  <c r="D55" i="9"/>
  <c r="C55" i="9"/>
  <c r="B55" i="9"/>
  <c r="F54" i="9"/>
  <c r="E54" i="9"/>
  <c r="D54" i="9"/>
  <c r="C54" i="9"/>
  <c r="B54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<sst xmlns="http://schemas.openxmlformats.org/spreadsheetml/2006/main" count="2215" uniqueCount="1594">
  <si>
    <t>📚 MICROSOFT EXCEL TRAINING MATERIAL: INTERMEDIATE TO ADVANCED</t>
  </si>
  <si>
    <t>Complete Training Guide with Practical Case Study</t>
  </si>
  <si>
    <t>📋 TABLE OF CONTENTS</t>
  </si>
  <si>
    <t>Sheet #</t>
  </si>
  <si>
    <t>Topic</t>
  </si>
  <si>
    <t>Level</t>
  </si>
  <si>
    <t>Description</t>
  </si>
  <si>
    <t>Table of Contents</t>
  </si>
  <si>
    <t>—</t>
  </si>
  <si>
    <t>Overview of training materials</t>
  </si>
  <si>
    <t>Intermediate Formulas</t>
  </si>
  <si>
    <t>Intermediate</t>
  </si>
  <si>
    <t>SUMIFS, COUNTIFS, INDEX-MATCH, TEXT functions</t>
  </si>
  <si>
    <t>Advanced Formulas</t>
  </si>
  <si>
    <t>Advanced</t>
  </si>
  <si>
    <t>XLOOKUP, Dynamic Arrays, LET, LAMBDA</t>
  </si>
  <si>
    <t>Data Analysis Tools</t>
  </si>
  <si>
    <t>Pivot Tables, Data Validation, Conditional Formatting</t>
  </si>
  <si>
    <t>Advanced Features</t>
  </si>
  <si>
    <t>Power Query basics, Named Ranges, Data Models</t>
  </si>
  <si>
    <t>Case Study - Data</t>
  </si>
  <si>
    <t>Practical</t>
  </si>
  <si>
    <t>Sales dataset for hands-on practice</t>
  </si>
  <si>
    <t>Case Study - Analysis</t>
  </si>
  <si>
    <t>Step-by-step analysis walkthrough</t>
  </si>
  <si>
    <t>Practice Exercises</t>
  </si>
  <si>
    <t>All Levels</t>
  </si>
  <si>
    <t>Exercises to reinforce learning</t>
  </si>
  <si>
    <t>💡 Learning Objectives:</t>
  </si>
  <si>
    <t>• Master intermediate and advanced Excel formulas</t>
  </si>
  <si>
    <t>• Build complex data analysis solutions</t>
  </si>
  <si>
    <t>• Apply skills to real-world business scenarios</t>
  </si>
  <si>
    <t>• Develop problem-solving approaches using Excel</t>
  </si>
  <si>
    <t>• Create dynamic reports and dashboards</t>
  </si>
  <si>
    <t>📊 INTERMEDIATE EXCEL FORMULAS</t>
  </si>
  <si>
    <t>🔹 SECTION 1: CONDITIONAL AGGREGATION FUNCTIONS</t>
  </si>
  <si>
    <t>Function</t>
  </si>
  <si>
    <t>Syntax</t>
  </si>
  <si>
    <t>SUMIF</t>
  </si>
  <si>
    <t>Sum cells meeting ONE condition</t>
  </si>
  <si>
    <t>SUMIFS</t>
  </si>
  <si>
    <t>SUMIF(range, criteria, sum_range)</t>
  </si>
  <si>
    <t>SUMIFS(sum_range, range1, criteria1, ...)</t>
  </si>
  <si>
    <t>Sum cells meeting MULTIPLE conditions</t>
  </si>
  <si>
    <t>COUNTIF</t>
  </si>
  <si>
    <t>COUNTIF(range, criteria)</t>
  </si>
  <si>
    <t>Count cells meeting ONE condition</t>
  </si>
  <si>
    <t>COUNTIFS</t>
  </si>
  <si>
    <t>COUNTIFS(range1, criteria1, range2, criteria2)</t>
  </si>
  <si>
    <t>Count cells meeting MULTIPLE conditions</t>
  </si>
  <si>
    <t>AVERAGEIF</t>
  </si>
  <si>
    <t>AVERAGEIF(range, criteria, average_range)</t>
  </si>
  <si>
    <t>Average cells meeting ONE condition</t>
  </si>
  <si>
    <t>AVERAGEIFS</t>
  </si>
  <si>
    <t>AVERAGEIFS(avg_range, range1, criteria1, ...)</t>
  </si>
  <si>
    <t>Average cells meeting MULTIPLE conditions</t>
  </si>
  <si>
    <t>📋 Practice Data:</t>
  </si>
  <si>
    <t>Product</t>
  </si>
  <si>
    <t>Region</t>
  </si>
  <si>
    <t>Sales</t>
  </si>
  <si>
    <t>Quantity</t>
  </si>
  <si>
    <t>Apple</t>
  </si>
  <si>
    <t>North</t>
  </si>
  <si>
    <t>Orange</t>
  </si>
  <si>
    <t>South</t>
  </si>
  <si>
    <t>Banana</t>
  </si>
  <si>
    <t>📝 Formula Examples (with live results):</t>
  </si>
  <si>
    <t>Formula</t>
  </si>
  <si>
    <t>Sum all Apple sales</t>
  </si>
  <si>
    <t>Sum Apple sales in North</t>
  </si>
  <si>
    <t>Count Apple products</t>
  </si>
  <si>
    <t>Count Apple in North</t>
  </si>
  <si>
    <t>Average Apple sales</t>
  </si>
  <si>
    <t>Sum sales where Qty&gt;50</t>
  </si>
  <si>
    <t>Result</t>
  </si>
  <si>
    <t>🔹 SECTION 2: INDEX-MATCH (Powerful Lookup Alternative)</t>
  </si>
  <si>
    <t>Why INDEX-MATCH over VLOOKUP?</t>
  </si>
  <si>
    <t>• Can look up values to the LEFT (VLOOKUP cannot)</t>
  </si>
  <si>
    <t>• More flexible and efficient for large datasets</t>
  </si>
  <si>
    <t>• Does not break when columns are inserted/deleted</t>
  </si>
  <si>
    <t>• Can perform two-way lookups (row and column)</t>
  </si>
  <si>
    <t>Syntax: INDEX(return_range, MATCH(lookup_value, lookup_range, 0))</t>
  </si>
  <si>
    <t>Employee ID</t>
  </si>
  <si>
    <t>Name</t>
  </si>
  <si>
    <t>Department</t>
  </si>
  <si>
    <t>Salary</t>
  </si>
  <si>
    <t>E001</t>
  </si>
  <si>
    <t>John Smith</t>
  </si>
  <si>
    <t>E002</t>
  </si>
  <si>
    <t>Jane Doe</t>
  </si>
  <si>
    <t>Marketing</t>
  </si>
  <si>
    <t>E003</t>
  </si>
  <si>
    <t>Bob Wilson</t>
  </si>
  <si>
    <t>IT</t>
  </si>
  <si>
    <t>E004</t>
  </si>
  <si>
    <t>Alice Brown</t>
  </si>
  <si>
    <t>HR</t>
  </si>
  <si>
    <t>E005</t>
  </si>
  <si>
    <t>Mike Johnson</t>
  </si>
  <si>
    <t>Finance</t>
  </si>
  <si>
    <t>Lookup Examples:</t>
  </si>
  <si>
    <t>Find Name for E003:</t>
  </si>
  <si>
    <t>Find Salary for Jane Doe:</t>
  </si>
  <si>
    <t>Find Dept for E004:</t>
  </si>
  <si>
    <t>Find ID for IT dept:</t>
  </si>
  <si>
    <t>🔹 SECTION 3: TEXT FUNCTIONS</t>
  </si>
  <si>
    <t>Example Input</t>
  </si>
  <si>
    <t>LEFT(text, num_chars)</t>
  </si>
  <si>
    <t>Extract characters from left</t>
  </si>
  <si>
    <t>RIGHT(text, num_chars)</t>
  </si>
  <si>
    <t>Extract characters from right</t>
  </si>
  <si>
    <t>MID(text, start, num_chars)</t>
  </si>
  <si>
    <t>Extract from middle</t>
  </si>
  <si>
    <t>LEN(text)</t>
  </si>
  <si>
    <t>Count characters</t>
  </si>
  <si>
    <t>Excel Training</t>
  </si>
  <si>
    <t>TRIM(text)</t>
  </si>
  <si>
    <t>Remove extra spaces</t>
  </si>
  <si>
    <t xml:space="preserve">  Hello   World  </t>
  </si>
  <si>
    <t>UPPER(text)</t>
  </si>
  <si>
    <t>Convert to uppercase</t>
  </si>
  <si>
    <t>excel</t>
  </si>
  <si>
    <t>LOWER(text)</t>
  </si>
  <si>
    <t>Convert to lowercase</t>
  </si>
  <si>
    <t>EXCEL</t>
  </si>
  <si>
    <t>PROPER(text)</t>
  </si>
  <si>
    <t>Capitalize first letters</t>
  </si>
  <si>
    <t>john smith</t>
  </si>
  <si>
    <t>CONCAT(text1, text2, ...)</t>
  </si>
  <si>
    <t>Join text strings</t>
  </si>
  <si>
    <t>Hello + World</t>
  </si>
  <si>
    <t>TEXTJOIN(delimiter, ignore_empty, text...)</t>
  </si>
  <si>
    <t>Join with delimiter</t>
  </si>
  <si>
    <t>A, B, C with dash</t>
  </si>
  <si>
    <t>TEXT(value, format)</t>
  </si>
  <si>
    <t>Format number as text</t>
  </si>
  <si>
    <t>1234.5 as currency</t>
  </si>
  <si>
    <t>🚀 ADVANCED EXCEL FORMULAS</t>
  </si>
  <si>
    <t>🔹 SECTION 1: XLOOKUP (Modern Lookup Function)</t>
  </si>
  <si>
    <t>Syntax: XLOOKUP(lookup_value, lookup_array, return_array, [if_not_found], [match_mode], [search_mode])</t>
  </si>
  <si>
    <t>Advantages over VLOOKUP:</t>
  </si>
  <si>
    <t>• Default exact match (no need for FALSE/0)</t>
  </si>
  <si>
    <t>• Can look left or right</t>
  </si>
  <si>
    <t>• Can return multiple columns</t>
  </si>
  <si>
    <t>• Built-in error handling with if_not_found</t>
  </si>
  <si>
    <t>• Supports wildcards and approximate matching</t>
  </si>
  <si>
    <t>Product ID</t>
  </si>
  <si>
    <t>Product Name</t>
  </si>
  <si>
    <t>Category</t>
  </si>
  <si>
    <t>Price</t>
  </si>
  <si>
    <t>Stock</t>
  </si>
  <si>
    <t>P001</t>
  </si>
  <si>
    <t>Laptop</t>
  </si>
  <si>
    <t>Electronics</t>
  </si>
  <si>
    <t>P002</t>
  </si>
  <si>
    <t>Mouse</t>
  </si>
  <si>
    <t>P003</t>
  </si>
  <si>
    <t>Desk Chair</t>
  </si>
  <si>
    <t>Furniture</t>
  </si>
  <si>
    <t>P004</t>
  </si>
  <si>
    <t>Monitor</t>
  </si>
  <si>
    <t>P005</t>
  </si>
  <si>
    <t>Keyboard</t>
  </si>
  <si>
    <t>XLOOKUP Examples:</t>
  </si>
  <si>
    <t>Find name for P003:</t>
  </si>
  <si>
    <t>Find price of Mouse:</t>
  </si>
  <si>
    <t>With error handling:</t>
  </si>
  <si>
    <t>Return multiple cols:</t>
  </si>
  <si>
    <t>🔹 SECTION 2: DYNAMIC ARRAY FUNCTIONS</t>
  </si>
  <si>
    <t>Dynamic arrays automatically spill results into adjacent cells</t>
  </si>
  <si>
    <t>Use the # symbol to reference the entire spill range</t>
  </si>
  <si>
    <t>Example</t>
  </si>
  <si>
    <t>FILTER</t>
  </si>
  <si>
    <t>Filter data based on criteria</t>
  </si>
  <si>
    <t>FILTER(range, criteria)</t>
  </si>
  <si>
    <t>SORT</t>
  </si>
  <si>
    <t>Sort data by specified column</t>
  </si>
  <si>
    <t>SORT(range, sort_index, order)</t>
  </si>
  <si>
    <t>SORTBY</t>
  </si>
  <si>
    <t>Sort by separate column/range</t>
  </si>
  <si>
    <t>SORTBY(range, by_array, order)</t>
  </si>
  <si>
    <t>UNIQUE</t>
  </si>
  <si>
    <t>Return unique values</t>
  </si>
  <si>
    <t>UNIQUE(range)</t>
  </si>
  <si>
    <t>SEQUENCE</t>
  </si>
  <si>
    <t>Generate sequence of numbers</t>
  </si>
  <si>
    <t>SEQUENCE(rows, cols, start, step)</t>
  </si>
  <si>
    <t>RANDARRAY</t>
  </si>
  <si>
    <t>Generate random numbers</t>
  </si>
  <si>
    <t>RANDARRAY(rows, cols, min, max)</t>
  </si>
  <si>
    <t>Years</t>
  </si>
  <si>
    <t>Anna</t>
  </si>
  <si>
    <t>Brian</t>
  </si>
  <si>
    <t>Carol</t>
  </si>
  <si>
    <t>David</t>
  </si>
  <si>
    <t>Emma</t>
  </si>
  <si>
    <t>Frank</t>
  </si>
  <si>
    <t>Dynamic Array Examples:</t>
  </si>
  <si>
    <t>UNIQUE departments:</t>
  </si>
  <si>
    <t>Filter IT staff:</t>
  </si>
  <si>
    <t>Sort by Salary (desc):</t>
  </si>
  <si>
    <t>Sequence 1-5:</t>
  </si>
  <si>
    <t>Benefits:</t>
  </si>
  <si>
    <t>LAMBDA Function - Create custom functions</t>
  </si>
  <si>
    <t>Syntax: LAMBDA(parameter1, [parameter2, ...], calculation)</t>
  </si>
  <si>
    <t>• Create reusable custom functions</t>
  </si>
  <si>
    <t>• Can be named via Name Manager for repeated use</t>
  </si>
  <si>
    <t>LAMBDA Example (inline):</t>
  </si>
  <si>
    <t>Multiply two numbers</t>
  </si>
  <si>
    <t>🔹 SECTION 4: OTHER ADVANCED FUNCTIONS</t>
  </si>
  <si>
    <t>Example Result</t>
  </si>
  <si>
    <t>IFS</t>
  </si>
  <si>
    <t>Multiple IF conditions</t>
  </si>
  <si>
    <t>SWITCH</t>
  </si>
  <si>
    <t>Match value to result</t>
  </si>
  <si>
    <t>MAXIFS</t>
  </si>
  <si>
    <t>Max with conditions</t>
  </si>
  <si>
    <t>MINIFS</t>
  </si>
  <si>
    <t>Min with conditions</t>
  </si>
  <si>
    <t>📈 DATA ANALYSIS TOOLS</t>
  </si>
  <si>
    <t>🔹 SECTION 1: PIVOT TABLES</t>
  </si>
  <si>
    <t>Pivot Tables - Summarize and analyze large datasets</t>
  </si>
  <si>
    <t>Key Concepts:</t>
  </si>
  <si>
    <t>• Rows: Categories to group data vertically</t>
  </si>
  <si>
    <t>• Columns: Categories to group data horizontally</t>
  </si>
  <si>
    <t>• Values: Data to summarize (SUM, COUNT, AVG, etc.)</t>
  </si>
  <si>
    <t>• Filters: Criteria to filter the entire pivot table</t>
  </si>
  <si>
    <t>Steps to Create a Pivot Table:</t>
  </si>
  <si>
    <t>1. Select your data range (including headers)</t>
  </si>
  <si>
    <t>2. Insert &gt; PivotTable</t>
  </si>
  <si>
    <t>3. Choose where to place the pivot table</t>
  </si>
  <si>
    <t>4. Drag fields to Rows, Columns, Values, Filters areas</t>
  </si>
  <si>
    <t>Best Practices:</t>
  </si>
  <si>
    <t>• Ensure data has no blank rows/columns</t>
  </si>
  <si>
    <t>• Use clear, consistent column headers</t>
  </si>
  <si>
    <t>• Convert range to Table for automatic expansion</t>
  </si>
  <si>
    <t>• Refresh pivot table after source data changes</t>
  </si>
  <si>
    <t>🔹 SECTION 2: DATA VALIDATION</t>
  </si>
  <si>
    <t>Data Validation - Control what users can enter in cells</t>
  </si>
  <si>
    <t>Access: Data tab &gt; Data Validation</t>
  </si>
  <si>
    <t>Validation Types:</t>
  </si>
  <si>
    <t>Type</t>
  </si>
  <si>
    <t>Use Case</t>
  </si>
  <si>
    <t>List</t>
  </si>
  <si>
    <t>Dropdown list of values</t>
  </si>
  <si>
    <t>Select from predefined options</t>
  </si>
  <si>
    <t>Whole Number</t>
  </si>
  <si>
    <t>Integer within range</t>
  </si>
  <si>
    <t>Age, quantity, count</t>
  </si>
  <si>
    <t>Decimal</t>
  </si>
  <si>
    <t>Decimal within range</t>
  </si>
  <si>
    <t>Price, percentage</t>
  </si>
  <si>
    <t>Date</t>
  </si>
  <si>
    <t>Date within range</t>
  </si>
  <si>
    <t>Start/end dates</t>
  </si>
  <si>
    <t>Time</t>
  </si>
  <si>
    <t>Time within range</t>
  </si>
  <si>
    <t>Working hours</t>
  </si>
  <si>
    <t>Text Length</t>
  </si>
  <si>
    <t>Limit character count</t>
  </si>
  <si>
    <t>Codes, abbreviations</t>
  </si>
  <si>
    <t>Custom</t>
  </si>
  <si>
    <t>Formula-based validation</t>
  </si>
  <si>
    <t>Complex business rules</t>
  </si>
  <si>
    <t>🔹 SECTION 3: CONDITIONAL FORMATTING</t>
  </si>
  <si>
    <t>Conditional Formatting - Automatically format cells based on values</t>
  </si>
  <si>
    <t>Access: Home tab &gt; Conditional Formatting</t>
  </si>
  <si>
    <t>Common Formatting Rules:</t>
  </si>
  <si>
    <t>Rule Type</t>
  </si>
  <si>
    <t>Highlight Cell Rules</t>
  </si>
  <si>
    <t>Format cells &gt;, &lt;, =, between, containing text</t>
  </si>
  <si>
    <t>Top/Bottom Rules</t>
  </si>
  <si>
    <t>Format top/bottom N values or percentages</t>
  </si>
  <si>
    <t>Data Bars</t>
  </si>
  <si>
    <t>Show bars proportional to cell values</t>
  </si>
  <si>
    <t>Color Scales</t>
  </si>
  <si>
    <t>Gradient colors based on value range</t>
  </si>
  <si>
    <t>Icon Sets</t>
  </si>
  <si>
    <t>Symbols indicating value categories</t>
  </si>
  <si>
    <t>Custom Formula</t>
  </si>
  <si>
    <t>Format based on any formula returning TRUE</t>
  </si>
  <si>
    <t>Example - Color Scale:</t>
  </si>
  <si>
    <t>Score</t>
  </si>
  <si>
    <t>⚡ ADVANCED EXCEL FEATURES</t>
  </si>
  <si>
    <t>🔹 SECTION 1: NAMED RANGES</t>
  </si>
  <si>
    <t>Named Ranges - Give meaningful names to cell references</t>
  </si>
  <si>
    <t>• Make formulas more readable: =SUM(Sales) vs =SUM(B2:B100)</t>
  </si>
  <si>
    <t>• Easier to maintain - update range in one place</t>
  </si>
  <si>
    <t>• Auto-expand with dynamic named ranges</t>
  </si>
  <si>
    <t>How to Create:</t>
  </si>
  <si>
    <t>Method 1: Select cells &gt; Name Box (left of formula bar) &gt; Type name</t>
  </si>
  <si>
    <t>Method 2: Formulas tab &gt; Define Name</t>
  </si>
  <si>
    <t>Method 3: Create from Selection (use headers as names)</t>
  </si>
  <si>
    <t>Naming Rules:</t>
  </si>
  <si>
    <t>• Must start with letter or underscore</t>
  </si>
  <si>
    <t>• No spaces (use underscores)</t>
  </si>
  <si>
    <t>• Cannot be cell references (A1, R1C1)</t>
  </si>
  <si>
    <t>• Max 255 characters</t>
  </si>
  <si>
    <t>🔹 SECTION 2: EXCEL TABLES</t>
  </si>
  <si>
    <t>Excel Tables (Ctrl+T) - Structured data management</t>
  </si>
  <si>
    <t>• Auto-expand when adding data</t>
  </si>
  <si>
    <t>• Structured references: =SUM(Table1[Sales])</t>
  </si>
  <si>
    <t>• Built-in filtering and sorting</t>
  </si>
  <si>
    <t>• Automatic formatting</t>
  </si>
  <si>
    <t>• Total row with various functions</t>
  </si>
  <si>
    <t>Table Features:</t>
  </si>
  <si>
    <t>• Filter dropdowns on headers</t>
  </si>
  <si>
    <t>• Banded rows for readability</t>
  </si>
  <si>
    <t>• Table styles for quick formatting</t>
  </si>
  <si>
    <t>• Slicers for interactive filtering</t>
  </si>
  <si>
    <t>🔹 SECTION 3: POWER QUERY BASICS</t>
  </si>
  <si>
    <t>Power Query - ETL tool for data transformation</t>
  </si>
  <si>
    <t>Access: Data tab &gt; Get Data / Get &amp; Transform</t>
  </si>
  <si>
    <t>Key Capabilities:</t>
  </si>
  <si>
    <t>• Import from multiple sources (files, databases, web)</t>
  </si>
  <si>
    <t>• Clean and transform data</t>
  </si>
  <si>
    <t>• Merge (join) multiple tables</t>
  </si>
  <si>
    <t>• Append (union) tables</t>
  </si>
  <si>
    <t>• Unpivot columns</t>
  </si>
  <si>
    <t>• Create calculated columns</t>
  </si>
  <si>
    <t>• Automate data refresh</t>
  </si>
  <si>
    <t>Common Transformations:</t>
  </si>
  <si>
    <t>Transformation</t>
  </si>
  <si>
    <t>Remove Columns</t>
  </si>
  <si>
    <t>Delete unwanted columns</t>
  </si>
  <si>
    <t>Filter Rows</t>
  </si>
  <si>
    <t>Keep/remove rows based on criteria</t>
  </si>
  <si>
    <t>Change Type</t>
  </si>
  <si>
    <t>Convert data types</t>
  </si>
  <si>
    <t>Replace Values</t>
  </si>
  <si>
    <t>Find and replace in columns</t>
  </si>
  <si>
    <t>Split Column</t>
  </si>
  <si>
    <t>Divide by delimiter or characters</t>
  </si>
  <si>
    <t>Merge Columns</t>
  </si>
  <si>
    <t>Combine multiple columns</t>
  </si>
  <si>
    <t>Pivot/Unpivot</t>
  </si>
  <si>
    <t>Reshape data structure</t>
  </si>
  <si>
    <t>Group By</t>
  </si>
  <si>
    <t>Aggregate data by categories</t>
  </si>
  <si>
    <t>📊 CASE STUDY: REGIONAL SALES ANALYSIS</t>
  </si>
  <si>
    <t>📋 SCENARIO</t>
  </si>
  <si>
    <t>You are a data analyst at TechMart, a retail company selling electronics and office supplies.</t>
  </si>
  <si>
    <t>Your manager has asked you to analyze Q1 2024 sales data to identify trends and insights.</t>
  </si>
  <si>
    <t>Use the dataset below to complete the analysis tasks on the next sheet.</t>
  </si>
  <si>
    <t>Order_ID</t>
  </si>
  <si>
    <t>Unit_Price</t>
  </si>
  <si>
    <t>Total_Sales</t>
  </si>
  <si>
    <t>ORD001</t>
  </si>
  <si>
    <t>ORD002</t>
  </si>
  <si>
    <t>Office</t>
  </si>
  <si>
    <t>ORD003</t>
  </si>
  <si>
    <t>East</t>
  </si>
  <si>
    <t>ORD004</t>
  </si>
  <si>
    <t>West</t>
  </si>
  <si>
    <t>Printer</t>
  </si>
  <si>
    <t>ORD005</t>
  </si>
  <si>
    <t>ORD006</t>
  </si>
  <si>
    <t>ORD007</t>
  </si>
  <si>
    <t>Desk</t>
  </si>
  <si>
    <t>ORD008</t>
  </si>
  <si>
    <t>Headphones</t>
  </si>
  <si>
    <t>ORD009</t>
  </si>
  <si>
    <t>Filing Cabinet</t>
  </si>
  <si>
    <t>ORD010</t>
  </si>
  <si>
    <t>ORD011</t>
  </si>
  <si>
    <t>ORD012</t>
  </si>
  <si>
    <t>ORD013</t>
  </si>
  <si>
    <t>Tablet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</si>
  <si>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</si>
  <si>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</si>
  <si>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</si>
  <si>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</si>
  <si>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</si>
  <si>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</si>
  <si>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</si>
  <si>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</si>
  <si>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</si>
  <si>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</si>
  <si>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</si>
  <si>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</si>
  <si>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</si>
  <si>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</si>
  <si>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</si>
  <si>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</si>
  <si>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</si>
  <si>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📊 Summary Reference</t>
  </si>
  <si>
    <t>Metric</t>
  </si>
  <si>
    <t>Value</t>
  </si>
  <si>
    <t>Total Orders</t>
  </si>
  <si>
    <t>Total Revenue</t>
  </si>
  <si>
    <t>Avg Order Value</t>
  </si>
  <si>
    <t>Total Quantity</t>
  </si>
  <si>
    <t>Unique Products</t>
  </si>
  <si>
    <t>Regions</t>
  </si>
  <si>
    <t>📊 CASE STUDY: ANALYSIS WALKTHROUGH</t>
  </si>
  <si>
    <t>📝 TASK 1: Analyze Sales by Region</t>
  </si>
  <si>
    <t>Use SUMIFS to calculate total sales per region</t>
  </si>
  <si>
    <t>Total Sales</t>
  </si>
  <si>
    <t>Order Count</t>
  </si>
  <si>
    <t>TOTAL</t>
  </si>
  <si>
    <t>📝 TASK 2: Analyze Sales by Category</t>
  </si>
  <si>
    <t>Compare Electronics vs Office supplies performance</t>
  </si>
  <si>
    <t>% of Total</t>
  </si>
  <si>
    <t>Qty Sold</t>
  </si>
  <si>
    <t>📝 TASK 3: Identify Top-Selling Products</t>
  </si>
  <si>
    <t>Find total sales for each product using SUMIF</t>
  </si>
  <si>
    <t>Quantity Sold</t>
  </si>
  <si>
    <t>📝 TASK 4: Monthly Sales Trend</t>
  </si>
  <si>
    <t>Analyze sales by month to identify trends</t>
  </si>
  <si>
    <t>Month</t>
  </si>
  <si>
    <t>Orders</t>
  </si>
  <si>
    <t>Growth %</t>
  </si>
  <si>
    <t>January</t>
  </si>
  <si>
    <t>February</t>
  </si>
  <si>
    <t>March</t>
  </si>
  <si>
    <t>📝 TASK 5: Advanced Analysis with XLOOKUP &amp; INDEX-MATCH</t>
  </si>
  <si>
    <t>Analysis Question</t>
  </si>
  <si>
    <t>Formula Used</t>
  </si>
  <si>
    <t>Highest single sale amount</t>
  </si>
  <si>
    <t>Product with highest total sales</t>
  </si>
  <si>
    <t>INDEX/MATCH with MAX</t>
  </si>
  <si>
    <t>Region with most orders</t>
  </si>
  <si>
    <t>Average Electronics sale</t>
  </si>
  <si>
    <t>💡 KEY INSIGHTS &amp; RECOMMENDATIONS</t>
  </si>
  <si>
    <t>Based on your analysis, document insights here:</t>
  </si>
  <si>
    <t>1. Regional Performance:</t>
  </si>
  <si>
    <t xml:space="preserve">   - Which region has the highest sales?</t>
  </si>
  <si>
    <t xml:space="preserve">   - Which region has the highest average order value?</t>
  </si>
  <si>
    <t>2. Category Analysis:</t>
  </si>
  <si>
    <t xml:space="preserve">   - Electronics vs Office - which dominates?</t>
  </si>
  <si>
    <t xml:space="preserve">   - What percentage of sales comes from each?</t>
  </si>
  <si>
    <t>3. Product Insights:</t>
  </si>
  <si>
    <t xml:space="preserve">   - Top 3 best-selling products by revenue</t>
  </si>
  <si>
    <t xml:space="preserve">   - Products that may need promotion</t>
  </si>
  <si>
    <t>4. Monthly Trends:</t>
  </si>
  <si>
    <t xml:space="preserve">   - Is sales growing month over month?</t>
  </si>
  <si>
    <t xml:space="preserve">   - Any seasonal patterns visible?</t>
  </si>
  <si>
    <t>✏️ PRACTICE EXERCISES</t>
  </si>
  <si>
    <t>Test your skills with these practice exercises. Enter your answers in the yellow cells.</t>
  </si>
  <si>
    <t>📘 EXERCISE 1: INTERMEDIATE FORMULAS</t>
  </si>
  <si>
    <t>Employee</t>
  </si>
  <si>
    <t>Alice</t>
  </si>
  <si>
    <t>Bob</t>
  </si>
  <si>
    <t>Grace</t>
  </si>
  <si>
    <t>Henry</t>
  </si>
  <si>
    <t>Question</t>
  </si>
  <si>
    <t>Your Answer</t>
  </si>
  <si>
    <t>1. Total salary of Sales dept:</t>
  </si>
  <si>
    <t>2. Count of IT employees:</t>
  </si>
  <si>
    <t>3. Average salary in HR:</t>
  </si>
  <si>
    <t>4. Sum salary where Years &gt; 4:</t>
  </si>
  <si>
    <t>5. Count employees with salary &gt; 55000:</t>
  </si>
  <si>
    <t>6. Max salary in IT:</t>
  </si>
  <si>
    <t>7. Min years in Sales:</t>
  </si>
  <si>
    <t>8. Find dept for Emma (INDEX-MATCH):</t>
  </si>
  <si>
    <t>Expected</t>
  </si>
  <si>
    <t>📗 EXERCISE 2: ADVANCED FORMULAS</t>
  </si>
  <si>
    <t>Product_ID</t>
  </si>
  <si>
    <t>P101</t>
  </si>
  <si>
    <t>Widget A</t>
  </si>
  <si>
    <t>Tools</t>
  </si>
  <si>
    <t>P102</t>
  </si>
  <si>
    <t>Widget B</t>
  </si>
  <si>
    <t>P103</t>
  </si>
  <si>
    <t>Gadget X</t>
  </si>
  <si>
    <t>P104</t>
  </si>
  <si>
    <t>Gadget Y</t>
  </si>
  <si>
    <t>P105</t>
  </si>
  <si>
    <t>Supply Z</t>
  </si>
  <si>
    <t>1. XLOOKUP price for P103:</t>
  </si>
  <si>
    <t>2. XLOOKUP category for Widget B:</t>
  </si>
  <si>
    <t>3. XLOOKUP P999 with error msg:</t>
  </si>
  <si>
    <t>4. UNIQUE categories:</t>
  </si>
  <si>
    <t>5. FILTER Electronics only:</t>
  </si>
  <si>
    <t>6. LET: calc 15% tax on 100:</t>
  </si>
  <si>
    <t>7. SEQUENCE 1 to 5:</t>
  </si>
  <si>
    <t>📙 EXERCISE 3: CASE STUDY CHALLENGE</t>
  </si>
  <si>
    <t>Using the Case Study data (Sheet 6), answer the following:</t>
  </si>
  <si>
    <t>Challenge Question</t>
  </si>
  <si>
    <t>Your Formula/Answer</t>
  </si>
  <si>
    <t>1. What is the total revenue from Laptops?</t>
  </si>
  <si>
    <t>2. How many orders were placed in the West region?</t>
  </si>
  <si>
    <t>3. What is the average quantity per order for Electronics?</t>
  </si>
  <si>
    <t>4. Which product generated the LEAST revenue?</t>
  </si>
  <si>
    <t>5. What percentage of total orders came from the North region?</t>
  </si>
  <si>
    <t>6. Find the highest priced item sold</t>
  </si>
  <si>
    <t>7. How many unique products were sold?</t>
  </si>
  <si>
    <t>8. What is the total revenue for orders with quantity &gt;= 10?</t>
  </si>
  <si>
    <t>9. Which month had the highest total sales?</t>
  </si>
  <si>
    <t>10. Create a formula to find sales for ANY product entered in C49</t>
  </si>
  <si>
    <t>(Enter product name above)</t>
  </si>
  <si>
    <t>💡 TIPS FOR SUCCESS</t>
  </si>
  <si>
    <t>• Always start with understanding the data structure</t>
  </si>
  <si>
    <t>• Break complex problems into smaller steps</t>
  </si>
  <si>
    <t>• Use named ranges to make formulas more readable</t>
  </si>
  <si>
    <t>• Test formulas with known values first</t>
  </si>
  <si>
    <t>• Use F9 to evaluate parts of a formula</t>
  </si>
  <si>
    <t>• Document your formulas with comments</t>
  </si>
  <si>
    <t>• Practice regularly to build muscle memory</t>
  </si>
  <si>
    <t>📋 ANSWER KEY (Exercise 3) - Try before checking!</t>
  </si>
  <si>
    <t>1. Total Laptop revenue</t>
  </si>
  <si>
    <t>2. West region orders</t>
  </si>
  <si>
    <t>3. Avg qty Electronics</t>
  </si>
  <si>
    <t>4. Least revenue product</t>
  </si>
  <si>
    <t>5. North % of orders</t>
  </si>
  <si>
    <t>Hint/Approach</t>
  </si>
  <si>
    <t>SUMIFS with Product=Laptop</t>
  </si>
  <si>
    <t>COUNTIF with Region=West</t>
  </si>
  <si>
    <t>AVERAGEIFS on Quantity where Category=Electronics</t>
  </si>
  <si>
    <t>INDEX-MATCH with MIN on product totals</t>
  </si>
  <si>
    <t>COUNTIF North / Total orders</t>
  </si>
  <si>
    <t>6. Highest priced item</t>
  </si>
  <si>
    <t>MAX on Unit_Price column</t>
  </si>
  <si>
    <t>7. Unique products</t>
  </si>
  <si>
    <t>COUNTA(UNIQUE(Product range))</t>
  </si>
  <si>
    <t>8. Revenue qty&gt;=10</t>
  </si>
  <si>
    <t>SUMIFS with Quantity&gt;=10</t>
  </si>
  <si>
    <t>9. Highest month</t>
  </si>
  <si>
    <t>Compare monthly SUMIFS or use MAX</t>
  </si>
  <si>
    <t>10. Dynamic lookup</t>
  </si>
  <si>
    <t>SUMIFS referencing the input cell</t>
  </si>
  <si>
    <t>⌨️ Essential Keyboard Shortcuts:</t>
  </si>
  <si>
    <t>Shortcut</t>
  </si>
  <si>
    <t>Action</t>
  </si>
  <si>
    <t>Ctrl + C/V/X</t>
  </si>
  <si>
    <t>Copy/Paste/Cut</t>
  </si>
  <si>
    <t>Ctrl + Z/Y</t>
  </si>
  <si>
    <t>Undo/Redo</t>
  </si>
  <si>
    <t>Ctrl + S</t>
  </si>
  <si>
    <t>Save</t>
  </si>
  <si>
    <t>Ctrl + T</t>
  </si>
  <si>
    <t>Create Table</t>
  </si>
  <si>
    <t>Ctrl + Shift + L</t>
  </si>
  <si>
    <t>Toggle Filters</t>
  </si>
  <si>
    <t>F2</t>
  </si>
  <si>
    <t>Edit Cell</t>
  </si>
  <si>
    <t>F4</t>
  </si>
  <si>
    <t>Toggle Absolute Reference ($)</t>
  </si>
  <si>
    <t>Alt + Enter</t>
  </si>
  <si>
    <t>New Line in Cell</t>
  </si>
  <si>
    <t>Ctrl + ;</t>
  </si>
  <si>
    <t>Insert Today's Date</t>
  </si>
  <si>
    <t>Ctrl + Shift + ;</t>
  </si>
  <si>
    <t>Insert Current Time</t>
  </si>
  <si>
    <t>Ctrl + `</t>
  </si>
  <si>
    <t>Show/Hide Formulas</t>
  </si>
  <si>
    <t>Ctrl + Home</t>
  </si>
  <si>
    <t>Go to Beginning</t>
  </si>
  <si>
    <t>Ctrl + End</t>
  </si>
  <si>
    <t>Go to Last Used Cell</t>
  </si>
  <si>
    <t>Total</t>
  </si>
  <si>
    <t>Item</t>
  </si>
  <si>
    <t>A</t>
  </si>
  <si>
    <t>B</t>
  </si>
  <si>
    <t>C</t>
  </si>
  <si>
    <t>Branch</t>
  </si>
  <si>
    <t>Klang,Selangor</t>
  </si>
  <si>
    <t>Kajang,Selangor</t>
  </si>
  <si>
    <t>Segamat,Johor</t>
  </si>
  <si>
    <t>Selangor,Bangi</t>
  </si>
  <si>
    <t>Ali</t>
  </si>
  <si>
    <t>Abu</t>
  </si>
  <si>
    <t>Zaki</t>
  </si>
  <si>
    <t>Jamal</t>
  </si>
  <si>
    <t>Admin</t>
  </si>
  <si>
    <t>Operation</t>
  </si>
  <si>
    <t>Year</t>
  </si>
  <si>
    <t>Azlan</t>
  </si>
  <si>
    <t>Reward</t>
  </si>
  <si>
    <t>Rm 2000</t>
  </si>
  <si>
    <t>RM 4000</t>
  </si>
  <si>
    <t>Status</t>
  </si>
  <si>
    <t>🔹 PRACTICE: IF FUNCTION EXERCISE</t>
  </si>
  <si>
    <t>The IF function checks a condition and returns one value if TRUE, another if FALSE.</t>
  </si>
  <si>
    <t>Syntax: IF(logical_test, value_if_true, value_if_false)</t>
  </si>
  <si>
    <t>Student</t>
  </si>
  <si>
    <t>Result (Your Formula)</t>
  </si>
  <si>
    <t>Pass</t>
  </si>
  <si>
    <t>Fail</t>
  </si>
  <si>
    <t>📝 Instructions:</t>
  </si>
  <si>
    <t>Write an IF formula in column C to show "Pass" if Score ≥ 60, otherwise "Fail".</t>
  </si>
  <si>
    <t>🔹 PRACTICE: IFS FUNCTION EXERCISE</t>
  </si>
  <si>
    <t>The IFS function checks multiple conditions and returns the value for the FIRST true condition.</t>
  </si>
  <si>
    <t>Syntax: IFS(condition1, value1, condition2, value2, ..., TRUE, default_value)</t>
  </si>
  <si>
    <t>Grade (Your Formula)</t>
  </si>
  <si>
    <t>Ben</t>
  </si>
  <si>
    <t>Cathy</t>
  </si>
  <si>
    <t>Dan</t>
  </si>
  <si>
    <t>D</t>
  </si>
  <si>
    <t>Eva</t>
  </si>
  <si>
    <t>F</t>
  </si>
  <si>
    <t>Fred</t>
  </si>
  <si>
    <t>Gina</t>
  </si>
  <si>
    <t>Hank</t>
  </si>
  <si>
    <t>Write an IFS formula in column C to assign grades: A (≥90), B (≥80), C (≥70), D (≥60), F (&lt;60)</t>
  </si>
  <si>
    <t>🔹 PRACTICE: IF WITH AND &amp; OR FUNCTIONS</t>
  </si>
  <si>
    <t>Combine IF with AND/OR to check multiple conditions:</t>
  </si>
  <si>
    <t>• AND(condition1, condition2, ...) - Returns TRUE only if ALL conditions are true</t>
  </si>
  <si>
    <t>• OR(condition1, condition2, ...) - Returns TRUE if ANY condition is true</t>
  </si>
  <si>
    <t>Exercise 1: Bonus Eligibility (IF + AND)</t>
  </si>
  <si>
    <t>Employee gets bonus if Sales ≥ 10000 AND Years ≥ 2</t>
  </si>
  <si>
    <t>Bonus? (Your Formula)</t>
  </si>
  <si>
    <t>Tom</t>
  </si>
  <si>
    <t>Yes</t>
  </si>
  <si>
    <t>Sara</t>
  </si>
  <si>
    <t>No</t>
  </si>
  <si>
    <t>Mike</t>
  </si>
  <si>
    <t>Lisa</t>
  </si>
  <si>
    <t>John</t>
  </si>
  <si>
    <t>Amy</t>
  </si>
  <si>
    <t>Exercise 2: Priority Status (IF + OR)</t>
  </si>
  <si>
    <t>Order is Priority if Amount ≥ 500 OR Customer is "VIP"</t>
  </si>
  <si>
    <t>Order ID</t>
  </si>
  <si>
    <t>Amount</t>
  </si>
  <si>
    <t>Customer</t>
  </si>
  <si>
    <t>Priority? (Your Formula)</t>
  </si>
  <si>
    <t>ORD101</t>
  </si>
  <si>
    <t>Regular</t>
  </si>
  <si>
    <t>ORD102</t>
  </si>
  <si>
    <t>ORD103</t>
  </si>
  <si>
    <t>VIP</t>
  </si>
  <si>
    <t>ORD104</t>
  </si>
  <si>
    <t>ORD105</t>
  </si>
  <si>
    <t>ORD106</t>
  </si>
  <si>
    <t>🔹 PRACTICE: AND &amp; OR FUNCTIONS EXERCISE</t>
  </si>
  <si>
    <t>The AND and OR functions are logical functions that test multiple conditions:</t>
  </si>
  <si>
    <t>• AND(condition1, condition2, ...) - Returns TRUE only if ALL conditions are TRUE</t>
  </si>
  <si>
    <t>• OR(condition1, condition2, ...) - Returns TRUE if ANY condition is TRUE</t>
  </si>
  <si>
    <t>Exercise 1: Using AND Function</t>
  </si>
  <si>
    <t>Determine if each student qualifies for Honor Roll (Score ≥ 85 AND Attendance ≥ 90%)</t>
  </si>
  <si>
    <t>Attendance %</t>
  </si>
  <si>
    <t>Honor Roll? (Your Formula)</t>
  </si>
  <si>
    <t>Kevin</t>
  </si>
  <si>
    <t>Laura</t>
  </si>
  <si>
    <t>Marcus</t>
  </si>
  <si>
    <t>Nina</t>
  </si>
  <si>
    <t>Oscar</t>
  </si>
  <si>
    <t>Paula</t>
  </si>
  <si>
    <t>Quinn</t>
  </si>
  <si>
    <t>Rachel</t>
  </si>
  <si>
    <t>Exercise 2: Using OR Function</t>
  </si>
  <si>
    <t>Determine if the product needs restocking (Stock &lt; 20 OR Days Since Last Sale &gt; 30)</t>
  </si>
  <si>
    <t>Days Since Sale</t>
  </si>
  <si>
    <t>Restock? (Your Formula)</t>
  </si>
  <si>
    <t>Widget C</t>
  </si>
  <si>
    <t>Widget D</t>
  </si>
  <si>
    <t>Widget E</t>
  </si>
  <si>
    <t>Widget F</t>
  </si>
  <si>
    <t>Widget G</t>
  </si>
  <si>
    <t>Widget H</t>
  </si>
  <si>
    <t>Exercise 3: Combining AND &amp; OR</t>
  </si>
  <si>
    <t>Applicant</t>
  </si>
  <si>
    <t>Credit Score</t>
  </si>
  <si>
    <t>Income</t>
  </si>
  <si>
    <t>Collateral</t>
  </si>
  <si>
    <t>Approved? (Your Formula)</t>
  </si>
  <si>
    <t>Alex</t>
  </si>
  <si>
    <t>Beth</t>
  </si>
  <si>
    <t>Chris</t>
  </si>
  <si>
    <t>Dana</t>
  </si>
  <si>
    <t>Evan</t>
  </si>
  <si>
    <t>Fiona</t>
  </si>
  <si>
    <t>George</t>
  </si>
  <si>
    <t>Hannah</t>
  </si>
  <si>
    <t>Approve loan if: (Credit Score ≥ 700 OR Income ≥ 50000) AND Collateral = "Yes"</t>
  </si>
  <si>
    <t>Standard Error</t>
  </si>
  <si>
    <t>Standard Deviation</t>
  </si>
  <si>
    <t>📊 WHAT-IF ANALYSIS EXERCISES</t>
  </si>
  <si>
    <t>Master Scenario Manager, Goal Seek, and Data Tables</t>
  </si>
  <si>
    <t>🔹 EXERCISE 1: SCENARIO MANAGER - Business Profit Analysis</t>
  </si>
  <si>
    <t>📋 SCENARIO:</t>
  </si>
  <si>
    <t>You run a small business selling products. Compare three scenarios: Best Case, Worst Case, and Most Likely.</t>
  </si>
  <si>
    <t>📦 BASE MODEL (Changing Cells):</t>
  </si>
  <si>
    <t>Variable</t>
  </si>
  <si>
    <t>Units Sold</t>
  </si>
  <si>
    <t>Number of units sold</t>
  </si>
  <si>
    <t>Unit Price</t>
  </si>
  <si>
    <t>Price per unit (£)</t>
  </si>
  <si>
    <t>Unit Cost</t>
  </si>
  <si>
    <t>Cost per unit (£)</t>
  </si>
  <si>
    <t>Fixed Costs</t>
  </si>
  <si>
    <t>Monthly fixed costs (£)</t>
  </si>
  <si>
    <t>📊 RESULT CELLS (Formulas):</t>
  </si>
  <si>
    <t>Revenue</t>
  </si>
  <si>
    <t>Total Costs</t>
  </si>
  <si>
    <t>Profit</t>
  </si>
  <si>
    <t>Profit Margin %</t>
  </si>
  <si>
    <t>📑 SCENARIO VALUES TO CREATE:</t>
  </si>
  <si>
    <t>Scenario</t>
  </si>
  <si>
    <t>Best Case</t>
  </si>
  <si>
    <t>Worst Case</t>
  </si>
  <si>
    <t>Most Likely</t>
  </si>
  <si>
    <t>📝 INSTRUCTIONS:</t>
  </si>
  <si>
    <t>1. Go to Data tab → What-If Analysis → Scenario Manager</t>
  </si>
  <si>
    <t>2. Click 'Add' to create each scenario</t>
  </si>
  <si>
    <t>3. Set Changing cells: $B$11:$B$14</t>
  </si>
  <si>
    <t>4. Enter values for each scenario from the table above</t>
  </si>
  <si>
    <t>5. Click 'Summary' to generate a report</t>
  </si>
  <si>
    <t>6. Choose Result cells: $C$18:$C$21</t>
  </si>
  <si>
    <t>🔹 EXERCISE 2: GOAL SEEK - Finding Break-Even &amp; Target Values</t>
  </si>
  <si>
    <t>Use Goal Seek to find the input value needed to achieve a specific target.</t>
  </si>
  <si>
    <t>📦 LOAN PAYMENT MODEL:</t>
  </si>
  <si>
    <t>Loan Amount</t>
  </si>
  <si>
    <t>Principal (£)</t>
  </si>
  <si>
    <t>Annual Interest Rate</t>
  </si>
  <si>
    <t>5% per year</t>
  </si>
  <si>
    <t>Loan Term (Years)</t>
  </si>
  <si>
    <t>Number of years</t>
  </si>
  <si>
    <t>Monthly Payment</t>
  </si>
  <si>
    <t>Calculated payment</t>
  </si>
  <si>
    <t>🎯 GOAL SEEK CHALLENGES:</t>
  </si>
  <si>
    <t>Challenge</t>
  </si>
  <si>
    <t>Set Cell</t>
  </si>
  <si>
    <t>To Value</t>
  </si>
  <si>
    <t>By Changing</t>
  </si>
  <si>
    <t>1. Target Payment £400</t>
  </si>
  <si>
    <t>$B$34</t>
  </si>
  <si>
    <t>$B$31 (Loan)</t>
  </si>
  <si>
    <t>2. Target Payment £500</t>
  </si>
  <si>
    <t>$B$32 (Rate)</t>
  </si>
  <si>
    <t>3. Target Payment £600</t>
  </si>
  <si>
    <t>$B$33 (Term)</t>
  </si>
  <si>
    <t>1. Go to Data tab → What-If Analysis → Goal Seek</t>
  </si>
  <si>
    <t>2. Set 'Set cell' to the result cell (B34)</t>
  </si>
  <si>
    <t>3. Set 'To value' to your target payment</t>
  </si>
  <si>
    <t>4. Set 'By changing cell' to the input to adjust</t>
  </si>
  <si>
    <t>5. Click OK and observe the result</t>
  </si>
  <si>
    <t>🔹 EXERCISE 3: ONE-VARIABLE DATA TABLE - Sensitivity Analysis</t>
  </si>
  <si>
    <t>See how changing ONE variable affects the result. The formula goes in the top-left corner.</t>
  </si>
  <si>
    <t>📦 INVESTMENT MODEL:</t>
  </si>
  <si>
    <t>Initial Investment</t>
  </si>
  <si>
    <t>Annual Rate</t>
  </si>
  <si>
    <t>Future Value</t>
  </si>
  <si>
    <t>📊 ONE-VARIABLE DATA TABLE (Column Input):</t>
  </si>
  <si>
    <t>Interest Rate</t>
  </si>
  <si>
    <t>?</t>
  </si>
  <si>
    <t>1. Select the entire table range D49:E57</t>
  </si>
  <si>
    <t>2. Go to Data → What-If Analysis → Data Table</t>
  </si>
  <si>
    <t>3. Column input cell: $B$51 (Annual Rate)</t>
  </si>
  <si>
    <t>4. Leave Row input cell blank</t>
  </si>
  <si>
    <t>5. Click OK - results fill automatically!</t>
  </si>
  <si>
    <t>💡 TIP: Column input = values are in a column</t>
  </si>
  <si>
    <t>🔹 EXERCISE 4: TWO-VARIABLE DATA TABLE - Advanced Sensitivity</t>
  </si>
  <si>
    <t>Analyze how TWO variables simultaneously affect the result. Perfect for loan payment scenarios!</t>
  </si>
  <si>
    <t>📊 TWO-VARIABLE DATA TABLE:</t>
  </si>
  <si>
    <t>← Loan Term (Years) →</t>
  </si>
  <si>
    <t>Interest</t>
  </si>
  <si>
    <t>Rate</t>
  </si>
  <si>
    <t>↓</t>
  </si>
  <si>
    <t>📝 INSTRUCTIONS FOR TWO-VARIABLE DATA TABLE:</t>
  </si>
  <si>
    <t>1. Select the entire table range D66:I72</t>
  </si>
  <si>
    <t>3. Row input cell: $B$69 (Years - because years are in the row)</t>
  </si>
  <si>
    <t>4. Column input cell: $B$68 (Interest Rate - because rates are in the column)</t>
  </si>
  <si>
    <t>5. Click OK - the entire table fills with monthly payments!</t>
  </si>
  <si>
    <t>💡 KEY INSIGHT: The intersection shows the payment for that specific rate AND term combination.</t>
  </si>
  <si>
    <t>📚 WHAT-IF ANALYSIS SUMMARY</t>
  </si>
  <si>
    <t>Tool</t>
  </si>
  <si>
    <t>Best Use Case</t>
  </si>
  <si>
    <t>Key Feature</t>
  </si>
  <si>
    <t>Scenario Manager</t>
  </si>
  <si>
    <t>Compare multiple complete scenarios (Best/Worst/Likely)</t>
  </si>
  <si>
    <t>Saves named scenarios, generates summary reports</t>
  </si>
  <si>
    <t>Goal Seek</t>
  </si>
  <si>
    <t>Find input value needed to achieve specific target</t>
  </si>
  <si>
    <t>Reverse calculation - work backwards from goal</t>
  </si>
  <si>
    <t>One-Variable Data Table</t>
  </si>
  <si>
    <t>See how ONE variable affects results across many values</t>
  </si>
  <si>
    <t>Quick sensitivity analysis for single variable</t>
  </si>
  <si>
    <t>Two-Variable Data Table</t>
  </si>
  <si>
    <t>Analyze impact of TWO variables simultaneously</t>
  </si>
  <si>
    <t>Matrix view of all combinations</t>
  </si>
  <si>
    <t>🎯 PRACTICE CHALLENGES</t>
  </si>
  <si>
    <t>Try these additional exercises to master What-If Analysis:</t>
  </si>
  <si>
    <t>Tool to Use</t>
  </si>
  <si>
    <t>1. Break-Even Analysis</t>
  </si>
  <si>
    <t>Using the profit model, find how many units to sell for £0 profit</t>
  </si>
  <si>
    <t>2. Investment Growth</t>
  </si>
  <si>
    <t>Create a data table showing future value for years 5-30</t>
  </si>
  <si>
    <t>3. Budget Scenarios</t>
  </si>
  <si>
    <t>Create Optimistic/Pessimistic/Realistic budget scenarios</t>
  </si>
  <si>
    <t>4. Price vs Volume</t>
  </si>
  <si>
    <t>Create a matrix showing revenue at different price/quantity combinations</t>
  </si>
  <si>
    <t>5. Target Profit</t>
  </si>
  <si>
    <t>Find the price needed to achieve £15,000 profit</t>
  </si>
  <si>
    <t>💡 PRO TIPS</t>
  </si>
  <si>
    <t>• Data Tables are dynamic - change the input cells and results update automatically</t>
  </si>
  <si>
    <t>• Scenario Manager can be combined with Data Tables for comprehensive analysis</t>
  </si>
  <si>
    <t>• Goal Seek only finds ONE solution - there may be multiple valid answers</t>
  </si>
  <si>
    <t>• For complex optimization, consider using Solver (Data → Solver)</t>
  </si>
  <si>
    <t>• Name your input cells (e.g., 'LoanAmount') to make scenarios easier to understand</t>
  </si>
  <si>
    <t>Monthly Saving</t>
  </si>
  <si>
    <t>Dividen</t>
  </si>
  <si>
    <t>🔹 EXERCISE 5: SOLVER - Budget Optimization</t>
  </si>
  <si>
    <t>You are a marketing manager with a £50,000 budget to allocate across 4 channels.</t>
  </si>
  <si>
    <t>Each channel has different ROI rates, minimum requirements, and maximum capacity.</t>
  </si>
  <si>
    <t>Use Solver to maximize total returns while meeting all constraints.</t>
  </si>
  <si>
    <t>📦 BUDGET ALLOCATION MODEL:</t>
  </si>
  <si>
    <t>Marketing Channel</t>
  </si>
  <si>
    <t>Budget Allocation (£)</t>
  </si>
  <si>
    <t>ROI Rate</t>
  </si>
  <si>
    <t>Expected Return (£)</t>
  </si>
  <si>
    <t>Min Required (£)</t>
  </si>
  <si>
    <t>Max Allowed (£)</t>
  </si>
  <si>
    <t>Digital Ads</t>
  </si>
  <si>
    <t>Social Media</t>
  </si>
  <si>
    <t>Email Marketing</t>
  </si>
  <si>
    <t>Content Marketing</t>
  </si>
  <si>
    <t>📋 CONSTRAINTS:</t>
  </si>
  <si>
    <t>Total Budget</t>
  </si>
  <si>
    <t>Budget Used</t>
  </si>
  <si>
    <t>Must equal Total Budget</t>
  </si>
  <si>
    <t>Budget Remaining</t>
  </si>
  <si>
    <t>Should be £0 when optimized</t>
  </si>
  <si>
    <t>🎯 SOLVER SETUP:</t>
  </si>
  <si>
    <t>Setting</t>
  </si>
  <si>
    <t>Explanation</t>
  </si>
  <si>
    <t>Set Objective</t>
  </si>
  <si>
    <t>$D$128</t>
  </si>
  <si>
    <t>Total Expected Return (to maximize)</t>
  </si>
  <si>
    <t>To</t>
  </si>
  <si>
    <t>Max</t>
  </si>
  <si>
    <t>We want to maximize returns</t>
  </si>
  <si>
    <t>By Changing Variable Cells</t>
  </si>
  <si>
    <t>$B$123:$B$126</t>
  </si>
  <si>
    <t>Budget allocation for each channel</t>
  </si>
  <si>
    <t>Subject to Constraints:</t>
  </si>
  <si>
    <t>$B$128 = $B$131</t>
  </si>
  <si>
    <t>Total budget must equal £50,000</t>
  </si>
  <si>
    <t>$B$123 &gt;= $E$123</t>
  </si>
  <si>
    <t>Digital Ads &gt;= Min Required</t>
  </si>
  <si>
    <t>$B$124 &gt;= $E$124</t>
  </si>
  <si>
    <t>Social Media &gt;= Min Required</t>
  </si>
  <si>
    <t>$B$125 &gt;= $E$125</t>
  </si>
  <si>
    <t>Email Marketing &gt;= Min Required</t>
  </si>
  <si>
    <t>$B$126 &gt;= $E$126</t>
  </si>
  <si>
    <t>Content Marketing &gt;= Min Required</t>
  </si>
  <si>
    <t>$B$123 &lt;= $F$123</t>
  </si>
  <si>
    <t>Digital Ads &lt;= Max Allowed</t>
  </si>
  <si>
    <t>$B$124 &lt;= $F$124</t>
  </si>
  <si>
    <t>Social Media &lt;= Max Allowed</t>
  </si>
  <si>
    <t>$B$125 &lt;= $F$125</t>
  </si>
  <si>
    <t>Email Marketing &lt;= Max Allowed</t>
  </si>
  <si>
    <t>$B$126 &lt;= $F$126</t>
  </si>
  <si>
    <t>Content Marketing &lt;= Max Allowed</t>
  </si>
  <si>
    <t>$B$123:$B$126 &gt;= 0</t>
  </si>
  <si>
    <t>No negative allocations</t>
  </si>
  <si>
    <t>📝 STEP-BY-STEP INSTRUCTIONS:</t>
  </si>
  <si>
    <t>1. Go to Data tab → Solver (if not visible, enable it via File → Options → Add-ins)</t>
  </si>
  <si>
    <t>2. Set Objective: Select cell $D$128 (Total Expected Return)</t>
  </si>
  <si>
    <t>3. Select 'Max' to maximize the objective</t>
  </si>
  <si>
    <t>4. By Changing Variable Cells: Select $B$123:$B$126 (the budget allocations)</t>
  </si>
  <si>
    <t>5. Click 'Add' to add each constraint from the table above</t>
  </si>
  <si>
    <t>6. Select 'Simplex LP' as the solving method (for linear problems)</t>
  </si>
  <si>
    <t>7. Click 'Solve' and review the solution</t>
  </si>
  <si>
    <t>8. Click 'OK' to keep the Solver solution</t>
  </si>
  <si>
    <t>💡 EXPECTED OPTIMAL SOLUTION:</t>
  </si>
  <si>
    <t>Channel</t>
  </si>
  <si>
    <t>Optimal Allocation</t>
  </si>
  <si>
    <t>Notes</t>
  </si>
  <si>
    <t>£25,000</t>
  </si>
  <si>
    <t>Hits maximum (highest ROI after Email)</t>
  </si>
  <si>
    <t>£5,000</t>
  </si>
  <si>
    <t>Hits minimum (lower ROI)</t>
  </si>
  <si>
    <t>£15,000</t>
  </si>
  <si>
    <t>Hits maximum (highest ROI!)</t>
  </si>
  <si>
    <t>Hits minimum (lowest ROI)</t>
  </si>
  <si>
    <t>£50,000</t>
  </si>
  <si>
    <t>Budget fully utilized</t>
  </si>
  <si>
    <t>Maximum Return</t>
  </si>
  <si>
    <t>£12,000</t>
  </si>
  <si>
    <t>Optimized return on investment</t>
  </si>
  <si>
    <t>💡 SOLVER PRO TIPS:</t>
  </si>
  <si>
    <t>• Solver must be enabled via File → Options → Add-ins → Solver Add-in → Go → Check Solver</t>
  </si>
  <si>
    <t>• Use 'Simplex LP' for linear problems (like this budget allocation)</t>
  </si>
  <si>
    <t>• Use 'GRG Nonlinear' for problems with multiplication/division between variables</t>
  </si>
  <si>
    <t>• Use 'Evolutionary' for complex non-smooth problems</t>
  </si>
  <si>
    <t>• Always set 'Make Unconstrained Variables Non-Negative' for budget problems</t>
  </si>
  <si>
    <t>• Save different solutions using 'Save Scenario' button in the Solver Results dialog</t>
  </si>
  <si>
    <t>📊 COMPARISON: Initial vs Optimal Solution</t>
  </si>
  <si>
    <t>Initial Allocation</t>
  </si>
  <si>
    <t>Initial Return</t>
  </si>
  <si>
    <t>Optimal Return</t>
  </si>
  <si>
    <t>Improvement</t>
  </si>
  <si>
    <t>Loan</t>
  </si>
  <si>
    <t>Car Price</t>
  </si>
  <si>
    <t>% Deposit</t>
  </si>
  <si>
    <t>📚 4 TYPES OF CELL REFERENCES IN EXCEL</t>
  </si>
  <si>
    <t>Understanding Relative, Absolute, Mixed (Row), and Mixed (Column) References</t>
  </si>
  <si>
    <t>Reference Type</t>
  </si>
  <si>
    <t>Symbol</t>
  </si>
  <si>
    <t>What Locks?</t>
  </si>
  <si>
    <t>When to Use</t>
  </si>
  <si>
    <t>1. Relative</t>
  </si>
  <si>
    <t>None</t>
  </si>
  <si>
    <t>A1</t>
  </si>
  <si>
    <t>Nothing - Both change</t>
  </si>
  <si>
    <t>Copying formulas across cells</t>
  </si>
  <si>
    <t>2. Absolute</t>
  </si>
  <si>
    <t>$$ (both)</t>
  </si>
  <si>
    <t>$A$1</t>
  </si>
  <si>
    <t>Row &amp; column locked</t>
  </si>
  <si>
    <t>Fixed values (tax rates, constants)</t>
  </si>
  <si>
    <t>3. Mixed (Row)</t>
  </si>
  <si>
    <t>$ on row</t>
  </si>
  <si>
    <t>A$1</t>
  </si>
  <si>
    <t>Row locked, column free</t>
  </si>
  <si>
    <t>Fixed row header lookups</t>
  </si>
  <si>
    <t>4. Mixed (Column)</t>
  </si>
  <si>
    <t>$ on column</t>
  </si>
  <si>
    <t>$A1</t>
  </si>
  <si>
    <t>Column locked, row free</t>
  </si>
  <si>
    <t>Fixed column lookups</t>
  </si>
  <si>
    <t>💡 TIP: Press F4 to cycle through reference types: A1 → $A$1 → A$1 → $A1 → A1</t>
  </si>
  <si>
    <t>🔹 EXERCISE 1: RELATIVE REFERENCE (A1)</t>
  </si>
  <si>
    <t>When copied, BOTH row and column adjust. This is the DEFAULT behavior.</t>
  </si>
  <si>
    <t>Qty</t>
  </si>
  <si>
    <t>Total (Relative)</t>
  </si>
  <si>
    <t>🔹 EXERCISE 2: ABSOLUTE REFERENCE ($A$1)</t>
  </si>
  <si>
    <t>When copied, the reference NEVER changes. Use for fixed values like tax rates.</t>
  </si>
  <si>
    <t>Tax Rate:</t>
  </si>
  <si>
    <t>Tax (Absolute)</t>
  </si>
  <si>
    <t>Phone</t>
  </si>
  <si>
    <t>🔹 EXERCISE 3: MIXED REFERENCE - ROW LOCKED (A$1)</t>
  </si>
  <si>
    <t>Row is LOCKED (doesn't change), Column is FREE (changes when copied horizontally).</t>
  </si>
  <si>
    <t>Multipliers:</t>
  </si>
  <si>
    <t>Base</t>
  </si>
  <si>
    <t>×2</t>
  </si>
  <si>
    <t>×3</t>
  </si>
  <si>
    <t>×4</t>
  </si>
  <si>
    <t>🔹 EXERCISE 4: MIXED REFERENCE - COLUMN LOCKED ($A1)</t>
  </si>
  <si>
    <t>Column is LOCKED (doesn't change), Row is FREE (changes when copied vertically).</t>
  </si>
  <si>
    <t>Prices →</t>
  </si>
  <si>
    <t>Item A ($5)</t>
  </si>
  <si>
    <t>Item B ($8)</t>
  </si>
  <si>
    <t>Item C ($12)</t>
  </si>
  <si>
    <t>Unit $</t>
  </si>
  <si>
    <t>🎯 PRACTICE CHALLENGE: Build a Multiplication Table</t>
  </si>
  <si>
    <t>Try to create a multiplication table using MIXED references. One formula, copy everywhere!</t>
  </si>
  <si>
    <t>📋 QUICK REFERENCE SUMMARY</t>
  </si>
  <si>
    <t>Notation</t>
  </si>
  <si>
    <t>Copy Right →</t>
  </si>
  <si>
    <t>Copy Down ↓</t>
  </si>
  <si>
    <t>Example Use</t>
  </si>
  <si>
    <t>Relative</t>
  </si>
  <si>
    <t>→ B1</t>
  </si>
  <si>
    <t>→ A2</t>
  </si>
  <si>
    <t>Basic calculations</t>
  </si>
  <si>
    <t>Absolute</t>
  </si>
  <si>
    <t>→ $A$1</t>
  </si>
  <si>
    <t>Tax rates, constants</t>
  </si>
  <si>
    <t>Mixed (Row)</t>
  </si>
  <si>
    <t>→ B$1</t>
  </si>
  <si>
    <t>→ A$1</t>
  </si>
  <si>
    <t>Header row lookups</t>
  </si>
  <si>
    <t>Mixed (Col)</t>
  </si>
  <si>
    <t>→ $A1</t>
  </si>
  <si>
    <t>→ $A2</t>
  </si>
  <si>
    <t>Header column lookups</t>
  </si>
  <si>
    <t>🔑 KEY TAKEAWAY: The $ symbol LOCKS whichever part it's in front of (row number or column letter).</t>
  </si>
  <si>
    <t xml:space="preserve">   Press F4 repeatedly while editing a cell reference to cycle through all 4 types!</t>
  </si>
  <si>
    <t>← Formula: =B17*C17</t>
  </si>
  <si>
    <t>← Copied down: =B18*C18 (row changed!)</t>
  </si>
  <si>
    <t>← Copied down: =B19*C19 (row changed!)</t>
  </si>
  <si>
    <t>🔹 SECTION 3: LAMBDA FUNCTIONS</t>
  </si>
  <si>
    <t>🔒 DATA VALIDATION: COMPLETE TRAINING GUIDE</t>
  </si>
  <si>
    <t>Control what users can enter in cells - Prevent errors before they happen!</t>
  </si>
  <si>
    <t>📖 SECTION 1: WHAT IS DATA VALIDATION?</t>
  </si>
  <si>
    <t>Data Validation is a powerful Excel feature that:</t>
  </si>
  <si>
    <t xml:space="preserve">  • Restricts the type of data that can be entered in a cell</t>
  </si>
  <si>
    <t xml:space="preserve">  • Creates dropdown lists for easy selection</t>
  </si>
  <si>
    <t xml:space="preserve">  • Displays input messages to guide users</t>
  </si>
  <si>
    <t xml:space="preserve">  • Shows error alerts when invalid data is entered</t>
  </si>
  <si>
    <t xml:space="preserve">  • Helps maintain data integrity and consistency</t>
  </si>
  <si>
    <t>📍 How to Access: Data tab → Data Validation (or Alt + D, L)</t>
  </si>
  <si>
    <t>📋 SECTION 2: TYPES OF DATA VALIDATION</t>
  </si>
  <si>
    <t>Common Use Cases</t>
  </si>
  <si>
    <t>Dropdown menu of allowed values</t>
  </si>
  <si>
    <t>Status, Categories, Departments</t>
  </si>
  <si>
    <t>Yes, No, Maybe</t>
  </si>
  <si>
    <t>Only integers within a range</t>
  </si>
  <si>
    <t>Age, Quantity, ID numbers</t>
  </si>
  <si>
    <t>1 to 100</t>
  </si>
  <si>
    <t>Numbers with decimals in range</t>
  </si>
  <si>
    <t>Prices, Percentages, Measurements</t>
  </si>
  <si>
    <t>0.00 to 999.99</t>
  </si>
  <si>
    <t>Dates within a specified range</t>
  </si>
  <si>
    <t>Start/End dates, Deadlines</t>
  </si>
  <si>
    <t>Today to +30 days</t>
  </si>
  <si>
    <t>Times within a range</t>
  </si>
  <si>
    <t>Working hours, Schedules</t>
  </si>
  <si>
    <t>08:00 to 18:00</t>
  </si>
  <si>
    <t>Codes, Abbreviations, IDs</t>
  </si>
  <si>
    <t>Exactly 5 characters</t>
  </si>
  <si>
    <t>Formula-based rules</t>
  </si>
  <si>
    <t>Complex business logic</t>
  </si>
  <si>
    <t>🔹 EXERCISE 1: DROPDOWN LIST (Most Common)</t>
  </si>
  <si>
    <t>Create a dropdown list to select a Department. Try clicking cell C30!</t>
  </si>
  <si>
    <t>Source List:</t>
  </si>
  <si>
    <t>Operations</t>
  </si>
  <si>
    <t>Select Department:</t>
  </si>
  <si>
    <t>📝 How to Create This:</t>
  </si>
  <si>
    <t>1. Select the target cell (D30)</t>
  </si>
  <si>
    <t>2. Data tab → Data Validation</t>
  </si>
  <si>
    <t>3. Allow: List</t>
  </si>
  <si>
    <t>4. Source: $A$31:$A$36 (or type values with commas)</t>
  </si>
  <si>
    <t>5. Click OK</t>
  </si>
  <si>
    <t>🔹 EXERCISE 2: WHOLE NUMBER VALIDATION</t>
  </si>
  <si>
    <t>Restrict entry to whole numbers between 1 and 100 (e.g., for Age or Quantity)</t>
  </si>
  <si>
    <t>Enter Age (1-100):</t>
  </si>
  <si>
    <t>📝 Settings: Allow: Whole number | Data: between | Min: 1 | Max: 100</t>
  </si>
  <si>
    <t>Enter Quantity (1-500):</t>
  </si>
  <si>
    <t>📝 This uses WARNING style - allows user to override</t>
  </si>
  <si>
    <t>🔹 EXERCISE 3: DECIMAL VALIDATION (Prices)</t>
  </si>
  <si>
    <t>Restrict entry to decimal numbers (e.g., prices between £0.01 and £9999.99)</t>
  </si>
  <si>
    <t>Enter Price (£):</t>
  </si>
  <si>
    <t>📝 Settings: Allow: Decimal | Data: between | Min: 0.01 | Max: 9999.99</t>
  </si>
  <si>
    <t>🔹 EXERCISE 4: DATE VALIDATION</t>
  </si>
  <si>
    <t>Restrict dates to a specific range (e.g., only future dates or within a project timeline)</t>
  </si>
  <si>
    <t>Start Date (today or later):</t>
  </si>
  <si>
    <t>📝 Uses formula: =TODAY() as minimum date</t>
  </si>
  <si>
    <t>End Date (max 30 days from today):</t>
  </si>
  <si>
    <t>📝 Uses formulas: =TODAY() and =TODAY()+30</t>
  </si>
  <si>
    <t>🔹 EXERCISE 5: TEXT LENGTH VALIDATION</t>
  </si>
  <si>
    <t>Restrict text to a specific length (e.g., product codes, employee IDs)</t>
  </si>
  <si>
    <t>Product Code (exactly 5 chars):</t>
  </si>
  <si>
    <t>📝 Example: ABC12, XY999, P0001</t>
  </si>
  <si>
    <t>Short Description (max 50 chars):</t>
  </si>
  <si>
    <t>📝 Useful for limiting comments or notes</t>
  </si>
  <si>
    <t>🔹 EXERCISE 6: CUSTOM FORMULA VALIDATION (Advanced)</t>
  </si>
  <si>
    <t>Use formulas to create complex validation rules. Formula must return TRUE for valid data.</t>
  </si>
  <si>
    <t>Enter Email (must contain @):</t>
  </si>
  <si>
    <t>📝 Formula: =ISNUMBER(FIND("@",B77))</t>
  </si>
  <si>
    <t>Project Start:</t>
  </si>
  <si>
    <t>Project End:</t>
  </si>
  <si>
    <t>📝 Formula: =D79&gt;B79 (End must be after Start)</t>
  </si>
  <si>
    <t>📢 SECTION 3: ERROR ALERT STYLES</t>
  </si>
  <si>
    <t>When invalid data is entered, Excel can show three types of error alerts:</t>
  </si>
  <si>
    <t>Style</t>
  </si>
  <si>
    <t>Icon</t>
  </si>
  <si>
    <t>Behavior</t>
  </si>
  <si>
    <t>Stop</t>
  </si>
  <si>
    <t>🛑</t>
  </si>
  <si>
    <t>Prevents entry completely - must enter valid data</t>
  </si>
  <si>
    <t>Critical data (IDs, required fields)</t>
  </si>
  <si>
    <t>Warning</t>
  </si>
  <si>
    <t>⚠️</t>
  </si>
  <si>
    <t>Warns but allows override with Yes/No option</t>
  </si>
  <si>
    <t>Recommended values, soft limits</t>
  </si>
  <si>
    <t>Information</t>
  </si>
  <si>
    <t>ℹ️</t>
  </si>
  <si>
    <t>Shows info only, always allows entry</t>
  </si>
  <si>
    <t>Suggestions, guidelines</t>
  </si>
  <si>
    <t>🎯 PRACTICE: BUILD A COMPLETE DATA ENTRY FORM</t>
  </si>
  <si>
    <t>Create a validated employee data entry form. Each field has specific validation rules.</t>
  </si>
  <si>
    <t>Field</t>
  </si>
  <si>
    <t>Enter Data Here</t>
  </si>
  <si>
    <t>Validation Rule</t>
  </si>
  <si>
    <t>Employee ID (EMP + 3 digits)</t>
  </si>
  <si>
    <t>Text length = 6, starts with EMP</t>
  </si>
  <si>
    <t>Full Name</t>
  </si>
  <si>
    <t>Text length 2-50</t>
  </si>
  <si>
    <t>Dropdown list</t>
  </si>
  <si>
    <t>Hire Date</t>
  </si>
  <si>
    <t>Date: not future</t>
  </si>
  <si>
    <t>Salary (£)</t>
  </si>
  <si>
    <t>Decimal: 20000-150000</t>
  </si>
  <si>
    <t>Age</t>
  </si>
  <si>
    <t>Whole number: 18-70</t>
  </si>
  <si>
    <t>Email</t>
  </si>
  <si>
    <t>Must contain @</t>
  </si>
  <si>
    <t>💡 TIPS &amp; BEST PRACTICES</t>
  </si>
  <si>
    <t>1. 📋 Use Named Ranges for dropdown lists - easier to maintain and update</t>
  </si>
  <si>
    <t>2. 🔄 Copy validation: Select validated cell → Copy → Select target cells → Paste Special → Validation</t>
  </si>
  <si>
    <t>3. 🔍 Find cells with validation: Home → Find &amp; Select → Data Validation</t>
  </si>
  <si>
    <t>4. ❌ Clear validation: Data → Data Validation → Clear All</t>
  </si>
  <si>
    <t>5. 📝 Always add Input Messages - helps users understand what's expected</t>
  </si>
  <si>
    <t>6. 🎯 Use appropriate error styles - Stop for critical, Warning for suggestions</t>
  </si>
  <si>
    <t>7. 🔗 Circle invalid data: Data → Data Validation → Circle Invalid Data</t>
  </si>
  <si>
    <t>8. 📊 Combine with Conditional Formatting for visual feedback</t>
  </si>
  <si>
    <t>🔧 USEFUL CUSTOM VALIDATION FORMULAS</t>
  </si>
  <si>
    <t>Purpose</t>
  </si>
  <si>
    <t>Only uppercase</t>
  </si>
  <si>
    <t>Checks if text is all uppercase</t>
  </si>
  <si>
    <t>No duplicates</t>
  </si>
  <si>
    <t>Ensures value is unique in column</t>
  </si>
  <si>
    <t>Starts with letter</t>
  </si>
  <si>
    <t>First character must be a letter</t>
  </si>
  <si>
    <t>Phone format</t>
  </si>
  <si>
    <t>Exactly 11 digits (UK mobile)</t>
  </si>
  <si>
    <t>Percentage 0-100</t>
  </si>
  <si>
    <t>For cells formatted as percentage</t>
  </si>
  <si>
    <t>No spaces</t>
  </si>
  <si>
    <t>Prevents spaces in entry</t>
  </si>
  <si>
    <t>Positive only</t>
  </si>
  <si>
    <t>Only allows positive numbers</t>
  </si>
  <si>
    <t>Dependent dropdown</t>
  </si>
  <si>
    <t>Cascading dropdown based on another cell</t>
  </si>
  <si>
    <t>🏆 CHALLENGE EXERCISES</t>
  </si>
  <si>
    <t>Test your skills! Create validation rules for the yellow cells below:</t>
  </si>
  <si>
    <t>Challenge 1: Create a dropdown with days of the week</t>
  </si>
  <si>
    <t>Challenge 2: Only allow values greater than 1000</t>
  </si>
  <si>
    <t>Challenge 3: Date must be in 2024 only</t>
  </si>
  <si>
    <t>Challenge 4: Text must be exactly 10 characters (UK postcode format)</t>
  </si>
  <si>
    <t>Challenge 5: Value must be a multiple of 5</t>
  </si>
  <si>
    <t>💡 Hints (don't peek until you've tried!):</t>
  </si>
  <si>
    <t>1: List - Monday,Tuesday,Wednesday,Thursday,Friday,Saturday,Sunday</t>
  </si>
  <si>
    <t>2: Whole Number or Decimal, Greater Than, 1000</t>
  </si>
  <si>
    <t>3: Date Between 01/01/2024 and 31/12/2024</t>
  </si>
  <si>
    <t>4: Text Length Equal To 10</t>
  </si>
  <si>
    <t>5: Custom Formula: =MOD(B143,5)=0</t>
  </si>
  <si>
    <t>🔑 KEY TAKEAWAYS</t>
  </si>
  <si>
    <t>✓ Data Validation prevents errors BEFORE they happen - saves time and ensures data quality</t>
  </si>
  <si>
    <t>✓ Dropdown lists are the most common type - use for any field with predefined options</t>
  </si>
  <si>
    <t>✓ Custom formulas give you unlimited flexibility for complex business rules</t>
  </si>
  <si>
    <t>✓ Always add Input Messages to guide users on what to enter</t>
  </si>
  <si>
    <t>✓ Choose the right error style: Stop (critical), Warning (suggestions), Information (tips)</t>
  </si>
  <si>
    <t>✓ Combine with Conditional Formatting for visual feedback on data entry</t>
  </si>
  <si>
    <t>📍 Remember: Data Validation is your first line of defense against bad data!</t>
  </si>
  <si>
    <t>🔹 SECTION 4: DATE FUNCTIONS</t>
  </si>
  <si>
    <t>TODAY()</t>
  </si>
  <si>
    <t>Returns current date (updates automatically)</t>
  </si>
  <si>
    <t>NOW()</t>
  </si>
  <si>
    <t>Returns current date and time</t>
  </si>
  <si>
    <t>DATE()</t>
  </si>
  <si>
    <t>DATE(year, month, day)</t>
  </si>
  <si>
    <t>Creates a date from year, month, day values</t>
  </si>
  <si>
    <t>YEAR()</t>
  </si>
  <si>
    <t>YEAR(date)</t>
  </si>
  <si>
    <t>Extracts year from a date</t>
  </si>
  <si>
    <t>MONTH()</t>
  </si>
  <si>
    <t>MONTH(date)</t>
  </si>
  <si>
    <t>Extracts month number (1-12) from a date</t>
  </si>
  <si>
    <t>DAY()</t>
  </si>
  <si>
    <t>DAY(date)</t>
  </si>
  <si>
    <t>Extracts day of month from a date</t>
  </si>
  <si>
    <t>WEEKDAY()</t>
  </si>
  <si>
    <t>WEEKDAY(date, [return_type])</t>
  </si>
  <si>
    <t>Returns day of week (1-7)</t>
  </si>
  <si>
    <t>EOMONTH()</t>
  </si>
  <si>
    <t>EOMONTH(start_date, months)</t>
  </si>
  <si>
    <t>Returns last day of month, n months away</t>
  </si>
  <si>
    <t>NETWORKDAYS()</t>
  </si>
  <si>
    <t>NETWORKDAYS(start, end, [holidays])</t>
  </si>
  <si>
    <t>Counts working days between dates</t>
  </si>
  <si>
    <t>DATEDIF()</t>
  </si>
  <si>
    <t>DATEDIF(start, end, unit)</t>
  </si>
  <si>
    <t>Calculates difference (Y, M, D, YM, MD, YD)</t>
  </si>
  <si>
    <t>EDATE()</t>
  </si>
  <si>
    <t>EDATE(start_date, months)</t>
  </si>
  <si>
    <t>Returns date n months before/after</t>
  </si>
  <si>
    <t>Event</t>
  </si>
  <si>
    <t>Project Start</t>
  </si>
  <si>
    <t>Project End</t>
  </si>
  <si>
    <t>Employee Start</t>
  </si>
  <si>
    <t>Birthday</t>
  </si>
  <si>
    <t>Today's date</t>
  </si>
  <si>
    <t>Current date &amp; time</t>
  </si>
  <si>
    <t>Year from Project Start</t>
  </si>
  <si>
    <t>Month from Project Start</t>
  </si>
  <si>
    <t>Day from Project Start</t>
  </si>
  <si>
    <t>Create date (2024, 12, 25)</t>
  </si>
  <si>
    <t>Day of week (1=Sun)</t>
  </si>
  <si>
    <t>End of Project Start month</t>
  </si>
  <si>
    <t>Working days (Start to End)</t>
  </si>
  <si>
    <t>Years employed</t>
  </si>
  <si>
    <t>Age from Birthday</t>
  </si>
  <si>
    <t>3 months after Start</t>
  </si>
  <si>
    <t>💡 Date Function Tips:</t>
  </si>
  <si>
    <t>• TODAY() and NOW() update automatically when workbook recalculates</t>
  </si>
  <si>
    <t>• DATEDIF is a hidden function - won't appear in autocomplete but works! Units: Y (years), M (months), D (days)</t>
  </si>
  <si>
    <t>• WEEKDAY return_type: 1 = Sunday=1, 2 = Monday=1, 3 = Monday=0</t>
  </si>
  <si>
    <t>• Use negative months in EDATE/EOMONTH to go backwards in time</t>
  </si>
  <si>
    <t>• NETWORKDAYS excludes weekends; add holiday range as 3rd argument to exclude holidays too</t>
  </si>
  <si>
    <t>🔹 SECTION 5: FINANCIAL FUNCTIONS</t>
  </si>
  <si>
    <t>Financial functions help calculate loan payments, investments, depreciation, and more.</t>
  </si>
  <si>
    <t>These are essential for business analysis, accounting, and personal finance planning.</t>
  </si>
  <si>
    <t>PMT</t>
  </si>
  <si>
    <t>PMT(rate, nper, pv, [fv], [type])</t>
  </si>
  <si>
    <t>Calculates periodic payment for a loan</t>
  </si>
  <si>
    <t>FV</t>
  </si>
  <si>
    <t>FV(rate, nper, pmt, [pv], [type])</t>
  </si>
  <si>
    <t>Future value of an investment</t>
  </si>
  <si>
    <t>Investment</t>
  </si>
  <si>
    <t>IPMT</t>
  </si>
  <si>
    <t>IPMT(rate, per, nper, pv, [fv], [type])</t>
  </si>
  <si>
    <t>Interest portion of a payment</t>
  </si>
  <si>
    <t>PPMT</t>
  </si>
  <si>
    <t>PPMT(rate, per, nper, pv, [fv], [type])</t>
  </si>
  <si>
    <t>Principal portion of a payment</t>
  </si>
  <si>
    <t>📋 Practice Example 1: Loan Payment Calculator</t>
  </si>
  <si>
    <t>Loan Parameters:</t>
  </si>
  <si>
    <t>Loan Amount (PV):</t>
  </si>
  <si>
    <t>Annual Interest Rate:</t>
  </si>
  <si>
    <t>Loan Term (Years):</t>
  </si>
  <si>
    <t>Payments Per Year:</t>
  </si>
  <si>
    <t>Calculated Results:</t>
  </si>
  <si>
    <t>Monthly Payment:</t>
  </si>
  <si>
    <t>Total Payments:</t>
  </si>
  <si>
    <t>Total Interest Paid:</t>
  </si>
  <si>
    <t>Month 1 Interest:</t>
  </si>
  <si>
    <t>Month 1 Principal:</t>
  </si>
  <si>
    <t>← Formula: =-PMT(rate/periods, years*periods, principal)</t>
  </si>
  <si>
    <t>← Formula: =Monthly Payment × Total Periods</t>
  </si>
  <si>
    <t>← Formula: =Total Payments - Principal</t>
  </si>
  <si>
    <t>← Formula: =-IPMT(rate/periods, period#, total_periods, principal)</t>
  </si>
  <si>
    <t>← Formula: =-PPMT(rate/periods, period#, total_periods, principal)</t>
  </si>
  <si>
    <t>📋 Practice Example 2: Investment Growth Calculator</t>
  </si>
  <si>
    <t>Investment Parameters:</t>
  </si>
  <si>
    <t>Initial Investment (PV):</t>
  </si>
  <si>
    <t>Monthly Contribution:</t>
  </si>
  <si>
    <t>Annual Return Rate:</t>
  </si>
  <si>
    <t>Investment Period (Years):</t>
  </si>
  <si>
    <t>Future Value:</t>
  </si>
  <si>
    <t>Total Contributions:</t>
  </si>
  <si>
    <t>Investment Gain:</t>
  </si>
  <si>
    <t>← Formula: =-FV(rate/12, years*12, monthly_pmt, initial_investment)</t>
  </si>
  <si>
    <t>← Formula: =Initial + (Monthly × Years × 12)</t>
  </si>
  <si>
    <t>← Formula: =Future Value - Total Contributions</t>
  </si>
  <si>
    <t>💡 TIPS FOR FINANCIAL FUNCTIONS</t>
  </si>
  <si>
    <t>Key Points to Remember:</t>
  </si>
  <si>
    <t>• PMT, PV, FV results are negative by default (cash outflow) - use negative sign to show positive</t>
  </si>
  <si>
    <t>• Always match the rate and nper units (monthly rate with monthly periods, annual with annual)</t>
  </si>
  <si>
    <t>• For monthly payments: divide annual rate by 12, multiply years by 12</t>
  </si>
  <si>
    <t>• IPMT + PPMT = Total payment (PMT) for any given period</t>
  </si>
  <si>
    <t>Common Errors to Avoid:</t>
  </si>
  <si>
    <t>❌ Using annual rate with monthly periods (must divide by 12)</t>
  </si>
  <si>
    <t>❌ Forgetting that PV in PMT should be positive for loans</t>
  </si>
  <si>
    <t>❌ Including initial investment in NPV range (add separately)</t>
  </si>
  <si>
    <t>❌ Mixing up signs for cash inflows (+) and outflows (-)</t>
  </si>
  <si>
    <t>📊 DATA ANALYSIS TOOLPAK: STATISTICAL ANALYSIS IN EXCEL</t>
  </si>
  <si>
    <t>Advanced Statistical Tools for Data Analysis</t>
  </si>
  <si>
    <t>🔧 SECTION 1: ENABLING THE DATA ANALYSIS TOOLPAK</t>
  </si>
  <si>
    <t>The Data Analysis ToolPak is an Excel Add-in that provides advanced statistical tools.</t>
  </si>
  <si>
    <t>📍 How to Enable:</t>
  </si>
  <si>
    <t xml:space="preserve">   1. Go to File → Options → Add-ins</t>
  </si>
  <si>
    <t xml:space="preserve">   2. At the bottom, select 'Excel Add-ins' from the Manage dropdown</t>
  </si>
  <si>
    <t xml:space="preserve">   3. Click 'Go...'</t>
  </si>
  <si>
    <t xml:space="preserve">   4. Check 'Analysis ToolPak' and click OK</t>
  </si>
  <si>
    <t xml:space="preserve">   5. The 'Data Analysis' button will appear on the Data tab</t>
  </si>
  <si>
    <t>📍 Available Tools in the ToolPak:</t>
  </si>
  <si>
    <t>Regression</t>
  </si>
  <si>
    <t>Analyze relationships between variables</t>
  </si>
  <si>
    <t>Predicting sales, forecasting</t>
  </si>
  <si>
    <t>Correlation</t>
  </si>
  <si>
    <t>Measure strength of relationships</t>
  </si>
  <si>
    <t>Finding related variables</t>
  </si>
  <si>
    <t>Descriptive Statistics</t>
  </si>
  <si>
    <t>Summary statistics (mean, std dev, etc.)</t>
  </si>
  <si>
    <t>Data overview</t>
  </si>
  <si>
    <t>t-Test (2-Sample)</t>
  </si>
  <si>
    <t>Compare means of two groups</t>
  </si>
  <si>
    <t>A/B testing, before/after studies</t>
  </si>
  <si>
    <t>ANOVA (Single Factor)</t>
  </si>
  <si>
    <t>Compare means of 3+ groups</t>
  </si>
  <si>
    <t>Multi-group comparisons</t>
  </si>
  <si>
    <t>Histogram</t>
  </si>
  <si>
    <t>Visualize data distribution</t>
  </si>
  <si>
    <t>Understanding data spread</t>
  </si>
  <si>
    <t>Moving Average</t>
  </si>
  <si>
    <t>Smooth time series data</t>
  </si>
  <si>
    <t>Trend analysis</t>
  </si>
  <si>
    <t>Exponential Smoothing</t>
  </si>
  <si>
    <t>Weighted moving average</t>
  </si>
  <si>
    <t>Forecasting</t>
  </si>
  <si>
    <t>F-Test (Two-Sample)</t>
  </si>
  <si>
    <t>Compare variances of two samples</t>
  </si>
  <si>
    <t>Quality control</t>
  </si>
  <si>
    <t>Sampling</t>
  </si>
  <si>
    <t>Create random samples from data</t>
  </si>
  <si>
    <t>Survey analysis</t>
  </si>
  <si>
    <t>📈 SECTION 2: REGRESSION ANALYSIS (Most Important Tool)</t>
  </si>
  <si>
    <t>Regression analyzes the relationship between a dependent variable (Y) and independent variable(s) (X).</t>
  </si>
  <si>
    <t>📊 Key Concepts:</t>
  </si>
  <si>
    <t xml:space="preserve">   • R-squared (R²): How well the model fits the data (0-1, higher is better)</t>
  </si>
  <si>
    <t xml:space="preserve">   • Coefficients: How much Y changes when X changes by 1 unit</t>
  </si>
  <si>
    <t xml:space="preserve">   • P-value: Statistical significance (&lt; 0.05 is typically significant)</t>
  </si>
  <si>
    <t xml:space="preserve">   • Standard Error: Precision of the estimates</t>
  </si>
  <si>
    <t>📋 Practice Data: Sales vs. Advertising Spend</t>
  </si>
  <si>
    <t>Advertising ($)</t>
  </si>
  <si>
    <t>Sales ($)</t>
  </si>
  <si>
    <t>Employees</t>
  </si>
  <si>
    <t>Temperature (°F)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</si>
  <si>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</si>
  <si>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</si>
  <si>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</si>
  <si>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</si>
  <si>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</si>
  <si>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</si>
  <si>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</si>
  <si>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</si>
  <si>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</si>
  <si>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</si>
  <si>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</si>
  <si>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</si>
  <si>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📝 How to Run Regression:</t>
  </si>
  <si>
    <t xml:space="preserve">   1. Go to Data tab → Data Analysis → Regression</t>
  </si>
  <si>
    <t xml:space="preserve">   2. Input Y Range: C43:C55 (Sales - what you predict)</t>
  </si>
  <si>
    <t xml:space="preserve">   3. Input X Range: B43:B55 (Advertising - predictor)</t>
  </si>
  <si>
    <t xml:space="preserve">   4. Check 'Labels' if headers are included</t>
  </si>
  <si>
    <t xml:space="preserve">   5. Choose output location</t>
  </si>
  <si>
    <t xml:space="preserve">   6. Click OK</t>
  </si>
  <si>
    <t>🎯 Interpreting Results:</t>
  </si>
  <si>
    <t>What It Means</t>
  </si>
  <si>
    <t>Multiple R</t>
  </si>
  <si>
    <t>Correlation coefficient (closer to 1 = better)</t>
  </si>
  <si>
    <t>R Square</t>
  </si>
  <si>
    <t>% of variance explained (&gt;0.7 is strong)</t>
  </si>
  <si>
    <t>Adjusted R²</t>
  </si>
  <si>
    <t>R² adjusted for # of predictors</t>
  </si>
  <si>
    <t>Avg prediction error (lower = better)</t>
  </si>
  <si>
    <t>P-value</t>
  </si>
  <si>
    <t>Statistical significance (&lt;0.05 = significant)</t>
  </si>
  <si>
    <t>Coefficients</t>
  </si>
  <si>
    <t>Slope - how much Y changes per unit X</t>
  </si>
  <si>
    <t>Intercept</t>
  </si>
  <si>
    <t>Y value when X = 0</t>
  </si>
  <si>
    <t>📊 SECTION 3: DESCRIPTIVE STATISTICS</t>
  </si>
  <si>
    <t>Descriptive Statistics provides a comprehensive summary of your data in one click.</t>
  </si>
  <si>
    <t>📋 Practice Data: Test Scores</t>
  </si>
  <si>
    <t>Math</t>
  </si>
  <si>
    <t>Science</t>
  </si>
  <si>
    <t>English</t>
  </si>
  <si>
    <t>Ivy</t>
  </si>
  <si>
    <t>Jack</t>
  </si>
  <si>
    <t>📝 How to Run Descriptive Statistics:</t>
  </si>
  <si>
    <t xml:space="preserve">   1. Data tab → Data Analysis → Descriptive Statistics</t>
  </si>
  <si>
    <t xml:space="preserve">   2. Input Range: B68:D78</t>
  </si>
  <si>
    <t xml:space="preserve">   3. Check 'Labels in first row'</t>
  </si>
  <si>
    <t xml:space="preserve">   4. Check 'Summary statistics'</t>
  </si>
  <si>
    <t xml:space="preserve">   5. Choose output location → OK</t>
  </si>
  <si>
    <t>📊 Output includes:</t>
  </si>
  <si>
    <t xml:space="preserve">   • Mean, Median, Mode</t>
  </si>
  <si>
    <t xml:space="preserve">   • Standard Deviation, Variance</t>
  </si>
  <si>
    <t xml:space="preserve">   • Range, Min, Max</t>
  </si>
  <si>
    <t xml:space="preserve">   • Count, Sum</t>
  </si>
  <si>
    <t xml:space="preserve">   • Kurtosis, Skewness</t>
  </si>
  <si>
    <t>🔗 SECTION 4: CORRELATION ANALYSIS</t>
  </si>
  <si>
    <t>Correlation measures the strength and direction of relationship between two variables (-1 to +1).</t>
  </si>
  <si>
    <t>📊 Correlation Values Interpretation:</t>
  </si>
  <si>
    <t>Value Range</t>
  </si>
  <si>
    <t>Interpretation</t>
  </si>
  <si>
    <t>+0.7 to +1.0</t>
  </si>
  <si>
    <t>Strong positive correlation</t>
  </si>
  <si>
    <t>Height ↔ Weight</t>
  </si>
  <si>
    <t>+0.3 to +0.7</t>
  </si>
  <si>
    <t>Moderate positive correlation</t>
  </si>
  <si>
    <t>Study hours ↔ Grades</t>
  </si>
  <si>
    <t>0 to +0.3</t>
  </si>
  <si>
    <t>Weak positive correlation</t>
  </si>
  <si>
    <t>Age ↔ Income</t>
  </si>
  <si>
    <t>No correlation</t>
  </si>
  <si>
    <t>Shoe size ↔ IQ</t>
  </si>
  <si>
    <t>-0.3 to 0</t>
  </si>
  <si>
    <t>Weak negative correlation</t>
  </si>
  <si>
    <t>Price ↔ Demand</t>
  </si>
  <si>
    <t>-0.7 to -0.3</t>
  </si>
  <si>
    <t>Moderate negative correlation</t>
  </si>
  <si>
    <t>Exercise ↔ Body fat</t>
  </si>
  <si>
    <t>-1.0 to -0.7</t>
  </si>
  <si>
    <t>Strong negative correlation</t>
  </si>
  <si>
    <t>Speed ↔ Travel time</t>
  </si>
  <si>
    <t>📝 How to Run Correlation:</t>
  </si>
  <si>
    <t xml:space="preserve">   1. Data tab → Data Analysis → Correlation</t>
  </si>
  <si>
    <t xml:space="preserve">   2. Input Range: Select all numeric columns</t>
  </si>
  <si>
    <t xml:space="preserve">   4. Choose output location → OK</t>
  </si>
  <si>
    <t>💡 TIP: Use regression data (B43:E55) to find</t>
  </si>
  <si>
    <t xml:space="preserve">   correlations between Advertising, Sales,</t>
  </si>
  <si>
    <t xml:space="preserve">   Employees, and Temperature!</t>
  </si>
  <si>
    <t>🔬 SECTION 5: t-TEST (Comparing Two Groups)</t>
  </si>
  <si>
    <t>t-Test determines if there's a statistically significant difference between two groups.</t>
  </si>
  <si>
    <t>📊 Types of t-Tests:</t>
  </si>
  <si>
    <t>Test Type</t>
  </si>
  <si>
    <t>Paired Two-Sample</t>
  </si>
  <si>
    <t>Same subjects, before/after</t>
  </si>
  <si>
    <t>Weight before vs. after diet</t>
  </si>
  <si>
    <t>Two-Sample Equal Var</t>
  </si>
  <si>
    <t>Different groups, equal variance</t>
  </si>
  <si>
    <t>Drug A vs. Drug B</t>
  </si>
  <si>
    <t>Two-Sample Unequal Var</t>
  </si>
  <si>
    <t>Different groups, unequal variance</t>
  </si>
  <si>
    <t>Small vs. large company sales</t>
  </si>
  <si>
    <t>📋 Practice Data: A/B Test Results</t>
  </si>
  <si>
    <t>Group A (Control)</t>
  </si>
  <si>
    <t>Group B (New Design)</t>
  </si>
  <si>
    <t>📝 How to Run t-Test:</t>
  </si>
  <si>
    <t xml:space="preserve">   1. Data → Data Analysis → t-Test: Two-Sample...</t>
  </si>
  <si>
    <t xml:space="preserve">   2. Variable 1 Range: A113:A123</t>
  </si>
  <si>
    <t xml:space="preserve">   3. Variable 2 Range: B113:B123</t>
  </si>
  <si>
    <t xml:space="preserve">   4. Check 'Labels' if headers included</t>
  </si>
  <si>
    <t xml:space="preserve">   5. Alpha: 0.05 (95% confidence)</t>
  </si>
  <si>
    <t xml:space="preserve">   6. Choose output location → OK</t>
  </si>
  <si>
    <t>🎯 Interpreting t-Test Results:</t>
  </si>
  <si>
    <t xml:space="preserve">   • If P-value &lt; 0.05: Significant difference exists</t>
  </si>
  <si>
    <t xml:space="preserve">   • If P-value ≥ 0.05: No significant difference</t>
  </si>
  <si>
    <t xml:space="preserve">   • t Stat: Shows direction (+/- difference)</t>
  </si>
  <si>
    <t>📊 SECTION 6: ANOVA (Comparing 3+ Groups)</t>
  </si>
  <si>
    <t>ANOVA (Analysis of Variance) tests if means of 3 or more groups are significantly different.</t>
  </si>
  <si>
    <t>📋 Practice Data: Sales Performance by Region</t>
  </si>
  <si>
    <t>📝 How to Run ANOVA:</t>
  </si>
  <si>
    <t xml:space="preserve">   1. Data → Data Analysis → Anova: Single Factor</t>
  </si>
  <si>
    <t xml:space="preserve">   2. Input Range: A133:D141</t>
  </si>
  <si>
    <t xml:space="preserve">   3. Grouped By: Columns</t>
  </si>
  <si>
    <t xml:space="preserve">   4. Check 'Labels in first row'</t>
  </si>
  <si>
    <t xml:space="preserve">   5. Alpha: 0.05</t>
  </si>
  <si>
    <t>🎯 Interpreting ANOVA Results:</t>
  </si>
  <si>
    <t xml:space="preserve">   • F-statistic: Ratio of between-group to within-group variance</t>
  </si>
  <si>
    <t xml:space="preserve">   • P-value &lt; 0.05: At least one group mean is different</t>
  </si>
  <si>
    <t xml:space="preserve">   • F &gt; F crit: Reject null hypothesis (groups differ)</t>
  </si>
  <si>
    <t>📊 SECTION 7: HISTOGRAM &amp; MOVING AVERAGE</t>
  </si>
  <si>
    <t>📈 HISTOGRAM - Visualize Data Distribution</t>
  </si>
  <si>
    <t>A histogram shows how data is distributed across different ranges (bins).</t>
  </si>
  <si>
    <t>📝 How to Create Histogram:</t>
  </si>
  <si>
    <t xml:space="preserve">   1. Data → Data Analysis → Histogram</t>
  </si>
  <si>
    <t xml:space="preserve">   2. Input Range: Your data (e.g., test scores)</t>
  </si>
  <si>
    <t xml:space="preserve">   3. Bin Range: Optional - define custom intervals</t>
  </si>
  <si>
    <t xml:space="preserve">   4. Check 'Chart Output' to create visual</t>
  </si>
  <si>
    <t xml:space="preserve">   5. Check 'Cumulative Percentage' for ogive</t>
  </si>
  <si>
    <t>📉 MOVING AVERAGE - Smooth Time Series Data</t>
  </si>
  <si>
    <t>Moving average smooths out fluctuations to show trends.</t>
  </si>
  <si>
    <t>📋 Practice Data: Monthly Revenue</t>
  </si>
  <si>
    <t>3-Month MA (Formula)</t>
  </si>
  <si>
    <t>📝 Using ToolPak for Moving Average:</t>
  </si>
  <si>
    <t xml:space="preserve">   1. Data → Data Analysis → Moving Average</t>
  </si>
  <si>
    <t xml:space="preserve">   2. Input Range: B166:B178</t>
  </si>
  <si>
    <t xml:space="preserve">   3. Interval: 3 (for 3-month MA)</t>
  </si>
  <si>
    <t xml:space="preserve">   4. Check 'Labels in First Row'</t>
  </si>
  <si>
    <t xml:space="preserve">   5. Check 'Chart Output' for visualization</t>
  </si>
  <si>
    <t>🔢 SECTION 8: EXCEL FORMULA ALTERNATIVES (No ToolPak Needed)</t>
  </si>
  <si>
    <t>Many statistical calculations can be done with built-in Excel functions:</t>
  </si>
  <si>
    <t>Analysis Type</t>
  </si>
  <si>
    <t>Excel Function(s)</t>
  </si>
  <si>
    <t>CORREL(array1, array2)</t>
  </si>
  <si>
    <t>Regression Slope</t>
  </si>
  <si>
    <t>SLOPE(known_y's, known_x's)</t>
  </si>
  <si>
    <t>Regression Intercept</t>
  </si>
  <si>
    <t>INTERCEPT(known_y's, known_x's)</t>
  </si>
  <si>
    <t>R-Squared</t>
  </si>
  <si>
    <t>RSQ(known_y's, known_x's)</t>
  </si>
  <si>
    <t>Forecast/Predict</t>
  </si>
  <si>
    <t>FORECAST.LINEAR(x, known_y's, known_x's)</t>
  </si>
  <si>
    <t>STDEV.S (sample) / STDEV.P (population)</t>
  </si>
  <si>
    <t>Variance</t>
  </si>
  <si>
    <t>VAR.S (sample) / VAR.P (population)</t>
  </si>
  <si>
    <t>t-Test P-value</t>
  </si>
  <si>
    <t>T.TEST(array1, array2, tails, type)</t>
  </si>
  <si>
    <t>F-Test P-value</t>
  </si>
  <si>
    <t>F.TEST(array1, array2)</t>
  </si>
  <si>
    <t>Confidence Interval</t>
  </si>
  <si>
    <t>CONFIDENCE.T(alpha, std_dev, size)</t>
  </si>
  <si>
    <t>🎯 SECTION 9: PRACTICE EXERCISES</t>
  </si>
  <si>
    <t>Complete these exercises to practice using the Data Analysis ToolPak:</t>
  </si>
  <si>
    <t>📝 Exercise 1: Regression Analysis</t>
  </si>
  <si>
    <t>Using the Sales vs. Advertising data (Rows 43-55):</t>
  </si>
  <si>
    <t xml:space="preserve">   a) Run a regression with Sales as Y and Advertising as X</t>
  </si>
  <si>
    <t xml:space="preserve">   b) What is the R-squared value? Is it a good fit?</t>
  </si>
  <si>
    <t xml:space="preserve">   c) What is the regression equation? (Y = intercept + slope*X)</t>
  </si>
  <si>
    <t xml:space="preserve">   d) Predict sales if advertising budget is $5,000</t>
  </si>
  <si>
    <t>📝 Exercise 2: Descriptive Statistics</t>
  </si>
  <si>
    <t>Using the Test Scores data (Rows 68-78):</t>
  </si>
  <si>
    <t xml:space="preserve">   a) Run Descriptive Statistics on all three subjects</t>
  </si>
  <si>
    <t xml:space="preserve">   b) Which subject has the highest average score?</t>
  </si>
  <si>
    <t xml:space="preserve">   c) Which subject has the most variability (highest std dev)?</t>
  </si>
  <si>
    <t xml:space="preserve">   d) What is the range of Math scores?</t>
  </si>
  <si>
    <t>📝 Exercise 3: t-Test</t>
  </si>
  <si>
    <t>Using the A/B Test data (Rows 113-123):</t>
  </si>
  <si>
    <t xml:space="preserve">   a) Run a two-sample t-test assuming equal variances</t>
  </si>
  <si>
    <t xml:space="preserve">   b) Is the difference between groups statistically significant at α=0.05?</t>
  </si>
  <si>
    <t xml:space="preserve">   c) What is the P-value?</t>
  </si>
  <si>
    <t xml:space="preserve">   d) Should the company adopt the new design?</t>
  </si>
  <si>
    <t>📝 Exercise 4: ANOVA</t>
  </si>
  <si>
    <t>Using the Regional Sales data (Rows 133-141):</t>
  </si>
  <si>
    <t xml:space="preserve">   a) Run ANOVA: Single Factor analysis</t>
  </si>
  <si>
    <t xml:space="preserve">   b) Is there a significant difference in sales between regions?</t>
  </si>
  <si>
    <t xml:space="preserve">   c) Which region performs best? Which performs worst?</t>
  </si>
  <si>
    <t xml:space="preserve">   d) What actions would you recommend based on the results?</t>
  </si>
  <si>
    <t>📝 Exercise 5: Correlation Analysis</t>
  </si>
  <si>
    <t>Using the Regression practice data (Rows 43-55):</t>
  </si>
  <si>
    <t xml:space="preserve">   a) Run Correlation analysis on all numeric columns (B-E)</t>
  </si>
  <si>
    <t xml:space="preserve">   b) Which variables have the strongest correlation?</t>
  </si>
  <si>
    <t xml:space="preserve">   c) Are there any surprising correlations?</t>
  </si>
  <si>
    <t xml:space="preserve">   d) Which variable is the best predictor of Sales?</t>
  </si>
  <si>
    <t>✅ DO:</t>
  </si>
  <si>
    <t xml:space="preserve">   • Always check data for errors/outliers before analysis</t>
  </si>
  <si>
    <t xml:space="preserve">   • Include labels/headers when selecting data ranges</t>
  </si>
  <si>
    <t xml:space="preserve">   • Document your analysis steps and assumptions</t>
  </si>
  <si>
    <t xml:space="preserve">   • Verify results make business sense</t>
  </si>
  <si>
    <t xml:space="preserve">   • Use appropriate alpha levels (typically 0.05 or 0.01)</t>
  </si>
  <si>
    <t>❌ DON'T:</t>
  </si>
  <si>
    <t xml:space="preserve">   • Confuse correlation with causation</t>
  </si>
  <si>
    <t xml:space="preserve">   • Ignore assumptions of statistical tests</t>
  </si>
  <si>
    <t xml:space="preserve">   • Over-interpret results from small sample sizes</t>
  </si>
  <si>
    <t xml:space="preserve">   • Use wrong test type (e.g., t-test for 3+ groups)</t>
  </si>
  <si>
    <t xml:space="preserve">   • Forget to check for normality when required</t>
  </si>
  <si>
    <t>📚 ADDITIONAL RESOURCES:</t>
  </si>
  <si>
    <t xml:space="preserve">   • Microsoft Support: Data Analysis ToolPak documentation</t>
  </si>
  <si>
    <t xml:space="preserve">   • Khan Academy: Free statistics courses</t>
  </si>
  <si>
    <t xml:space="preserve">   • Coursera/edX: Data analysis with Excel courses</t>
  </si>
  <si>
    <t>Data Analysis ToolPak</t>
  </si>
  <si>
    <t>Regression, t-Test, ANOVA, Correlation, Descriptive Stats</t>
  </si>
  <si>
    <t>Another Exercise</t>
  </si>
  <si>
    <t>Period (Years)</t>
  </si>
  <si>
    <t>Total Payments</t>
  </si>
  <si>
    <t>Total Interest</t>
  </si>
  <si>
    <t>Total Cost</t>
  </si>
  <si>
    <t>📦 BASE MODEL:</t>
  </si>
  <si>
    <t>Deposit%</t>
  </si>
  <si>
    <t>Budget Car</t>
  </si>
  <si>
    <t>Mid-Range</t>
  </si>
  <si>
    <t>Premium</t>
  </si>
  <si>
    <t>🚗 EXERCISE 6: CAR LOAN CALCULATOR - What-If Analysis Case Study</t>
  </si>
  <si>
    <t>📋 SCENARIO: You're buying a car and need to analyze different financing options.</t>
  </si>
  <si>
    <t>Formula/Note</t>
  </si>
  <si>
    <t>Input value</t>
  </si>
  <si>
    <t>Annual rate</t>
  </si>
  <si>
    <t>Loan term</t>
  </si>
  <si>
    <t>📊 Calculated Results:</t>
  </si>
  <si>
    <t>Deposit Amount</t>
  </si>
  <si>
    <t>📑 PART 1: SCENARIO MANAGER</t>
  </si>
  <si>
    <t>1. Data → What-If Analysis → Scenario Manager</t>
  </si>
  <si>
    <t>3. Changing cells: $B$199,$B$200,$B$201,$B$202</t>
  </si>
  <si>
    <t>4. Enter values from the table above</t>
  </si>
  <si>
    <t>5. Click 'Summary' to compare scenarios</t>
  </si>
  <si>
    <t>6. Result cells: $B$206:$B$211</t>
  </si>
  <si>
    <t>🎯 PART 2: GOAL SEEK CHALLENGES</t>
  </si>
  <si>
    <t>What You'll Find</t>
  </si>
  <si>
    <t>1. Target Payment £1,500</t>
  </si>
  <si>
    <t>$B$208</t>
  </si>
  <si>
    <t>£1,500</t>
  </si>
  <si>
    <t>$B$199 (Car Price)</t>
  </si>
  <si>
    <t>Max affordable car</t>
  </si>
  <si>
    <t>2. Target Payment £2,000</t>
  </si>
  <si>
    <t>£2,000</t>
  </si>
  <si>
    <t>$B$202 (Years)</t>
  </si>
  <si>
    <t>Shortest loan term</t>
  </si>
  <si>
    <t>3. Zero Interest Cost</t>
  </si>
  <si>
    <t>$B$210</t>
  </si>
  <si>
    <t>£0</t>
  </si>
  <si>
    <t>$B$201 (Rate)</t>
  </si>
  <si>
    <t>Break-even rate</t>
  </si>
  <si>
    <t>4. £30,000 Deposit</t>
  </si>
  <si>
    <t>$B$206</t>
  </si>
  <si>
    <t>£30,000</t>
  </si>
  <si>
    <t>$B$200 (%)</t>
  </si>
  <si>
    <t>Required deposit %</t>
  </si>
  <si>
    <t>5. Total Cost £150,000</t>
  </si>
  <si>
    <t>$B$211</t>
  </si>
  <si>
    <t>£150,000</t>
  </si>
  <si>
    <t>$B$199 (Price)</t>
  </si>
  <si>
    <t>Max car for budget</t>
  </si>
  <si>
    <t>📝 HOW TO USE GOAL SEEK:</t>
  </si>
  <si>
    <t>1. Data → What-If Analysis → Goal Seek</t>
  </si>
  <si>
    <t>2. Set cell = result you want to control</t>
  </si>
  <si>
    <t>3. To value = your target number</t>
  </si>
  <si>
    <t>4. By changing cell = input to adjust</t>
  </si>
  <si>
    <t>5. Click OK and see the magic!</t>
  </si>
  <si>
    <t>📊 PART 3: ONE-VARIABLE DATA TABLE</t>
  </si>
  <si>
    <t>See how Interest Rate affects Monthly Payment:</t>
  </si>
  <si>
    <t>1. Select range A227:B235</t>
  </si>
  <si>
    <t>2. Data → What-If Analysis → Data Table</t>
  </si>
  <si>
    <t>3. Column input cell: $B$201</t>
  </si>
  <si>
    <t>4. Leave Row input blank</t>
  </si>
  <si>
    <t>💡 TIP: B227 must reference the result cell (Monthly Payment)</t>
  </si>
  <si>
    <t>📊 PART 4: TWO-VARIABLE DATA TABLE</t>
  </si>
  <si>
    <t>Monthly Payment by Interest Rate AND Loan Term:</t>
  </si>
  <si>
    <t>1. Select range A242:F247</t>
  </si>
  <si>
    <t>3. Row input cell: $B$202 (Years)</t>
  </si>
  <si>
    <t>4. Column input cell: $B$201 (Interest Rate)</t>
  </si>
  <si>
    <t>5. Click OK - entire matrix fills!</t>
  </si>
  <si>
    <t>💡 The matrix shows all rate/term combinations!</t>
  </si>
  <si>
    <t>💡 SUMMARY: WHICH TOOL TO USE?</t>
  </si>
  <si>
    <t>Use When...</t>
  </si>
  <si>
    <t>Example Question</t>
  </si>
  <si>
    <t>Inputs</t>
  </si>
  <si>
    <t>Comparing named scenarios</t>
  </si>
  <si>
    <t>Budget vs Premium vs Mid-Range?</t>
  </si>
  <si>
    <t>Multiple inputs per scenario</t>
  </si>
  <si>
    <t>Finding input for target result</t>
  </si>
  <si>
    <t>What price for £1,500/month?</t>
  </si>
  <si>
    <t>One input to find</t>
  </si>
  <si>
    <t>1-Var Data Table</t>
  </si>
  <si>
    <t>Testing one variable range</t>
  </si>
  <si>
    <t>Payment at 4%, 5%, 6%... rates?</t>
  </si>
  <si>
    <t>One variable, many values</t>
  </si>
  <si>
    <t>2-Var Data Table</t>
  </si>
  <si>
    <t>Testing two variables together</t>
  </si>
  <si>
    <t>Rate AND term combinations?</t>
  </si>
  <si>
    <t>Two variables, matrix output</t>
  </si>
  <si>
    <t>🎯 PRACTICE CHALLENGES:</t>
  </si>
  <si>
    <t>1. Use Scenario Manager to compare Budget, Mid-Range, and Premium car options</t>
  </si>
  <si>
    <t>2. Use Goal Seek to find the maximum car price you can afford with £2,000/month payment</t>
  </si>
  <si>
    <t>3. Create a data table showing monthly payments for deposit percentages from 10% to 30%</t>
  </si>
  <si>
    <t>4. Create a two-variable table showing total interest for different rates and terms</t>
  </si>
  <si>
    <t>5. Find the interest rate needed to reduce total interest to exactly £15,000</t>
  </si>
  <si>
    <t>💡 Note: Press F2 then Enter on any formula cell to recalculate if showing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</si>
</sst>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£&quot;#,##0;[Red]\-&quot;£&quot;#,##0"/>
    <numFmt numFmtId="8" formatCode="&quot;£&quot;#,##0.00;[Red]\-&quot;£&quot;#,##0.00"/>
    <numFmt numFmtId="164" formatCode="&quot;£&quot;#,##0.00"/>
    <numFmt numFmtId="165" formatCode="yyyy\-mm\-dd"/>
    <numFmt numFmtId="166" formatCode="0.0%"/>
    <numFmt numFmtId="167" formatCode="\£#,##0.00"/>
    <numFmt numFmtId="168" formatCode="\£#,##0"/>
    <numFmt numFmtId="169" formatCode="&quot;£&quot;#,##0"/>
    <numFmt numFmtId="170" formatCode="_-[$£-809]* #,##0.00_-;\-[$£-809]* #,##0.00_-;_-[$£-809]* &quot;-&quot;??_-;_-@_-"/>
  </numFmts>
  <fonts count="3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i/>
      <sz val="11"/>
      <color rgb="FF2E75B6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i/>
      <sz val="11"/>
      <color rgb="FF117A65"/>
      <name val="Aptos Narrow"/>
      <family val="2"/>
      <scheme val="minor"/>
    </font>
    <font>
      <i/>
      <sz val="11"/>
      <color rgb="FF7B7D7D"/>
      <name val="Aptos Narrow"/>
      <family val="2"/>
      <scheme val="minor"/>
    </font>
    <font>
      <b/>
      <sz val="11"/>
      <color rgb="FF1A5276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b/>
      <sz val="11"/>
      <color rgb="FF8B0000"/>
      <name val="Aptos Narrow"/>
      <family val="2"/>
      <scheme val="minor"/>
    </font>
    <font>
      <sz val="11"/>
      <color rgb="FF666666"/>
      <name val="Aptos Narrow"/>
      <family val="2"/>
      <scheme val="minor"/>
    </font>
    <font>
      <b/>
      <sz val="11"/>
      <color rgb="FF7D3C98"/>
      <name val="Aptos Narrow"/>
      <family val="2"/>
      <scheme val="minor"/>
    </font>
    <font>
      <sz val="11"/>
      <color rgb="FFAAAAAA"/>
      <name val="Aptos Narrow"/>
      <family val="2"/>
      <scheme val="minor"/>
    </font>
    <font>
      <b/>
      <sz val="12"/>
      <color rgb="FFC0392B"/>
      <name val="Aptos Narrow"/>
      <family val="2"/>
      <scheme val="minor"/>
    </font>
    <font>
      <i/>
      <sz val="11"/>
      <color rgb="FF1F4E79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b/>
      <sz val="11"/>
      <color rgb="FFC65911"/>
      <name val="Aptos Narrow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2E86AB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4D03F"/>
        <bgColor indexed="64"/>
      </patternFill>
    </fill>
    <fill>
      <patternFill patternType="solid">
        <fgColor rgb="FFD5DBDB"/>
        <bgColor indexed="64"/>
      </patternFill>
    </fill>
    <fill>
      <patternFill patternType="solid">
        <fgColor rgb="FF58D68D"/>
        <bgColor indexed="64"/>
      </patternFill>
    </fill>
    <fill>
      <patternFill patternType="solid">
        <fgColor rgb="FFABEBC6"/>
        <bgColor indexed="64"/>
      </patternFill>
    </fill>
    <fill>
      <patternFill patternType="solid">
        <fgColor rgb="FF85C1E9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1948A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5DADE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0CECE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/>
    <xf numFmtId="0" fontId="4" fillId="4" borderId="0" xfId="0" applyFont="1" applyFill="1"/>
    <xf numFmtId="0" fontId="1" fillId="5" borderId="0" xfId="0" applyFont="1" applyFill="1"/>
    <xf numFmtId="0" fontId="5" fillId="0" borderId="0" xfId="0" applyFont="1"/>
    <xf numFmtId="0" fontId="1" fillId="6" borderId="0" xfId="0" applyFont="1" applyFill="1"/>
    <xf numFmtId="0" fontId="1" fillId="7" borderId="0" xfId="0" applyFont="1" applyFill="1"/>
    <xf numFmtId="164" fontId="0" fillId="0" borderId="0" xfId="0" applyNumberFormat="1"/>
    <xf numFmtId="165" fontId="0" fillId="0" borderId="0" xfId="0" applyNumberFormat="1"/>
    <xf numFmtId="164" fontId="0" fillId="7" borderId="0" xfId="0" applyNumberFormat="1" applyFill="1"/>
    <xf numFmtId="166" fontId="0" fillId="0" borderId="0" xfId="0" applyNumberFormat="1"/>
    <xf numFmtId="0" fontId="0" fillId="10" borderId="0" xfId="0" applyFill="1"/>
    <xf numFmtId="0" fontId="1" fillId="11" borderId="0" xfId="0" applyFont="1" applyFill="1"/>
    <xf numFmtId="0" fontId="0" fillId="6" borderId="0" xfId="0" applyFill="1"/>
    <xf numFmtId="0" fontId="9" fillId="0" borderId="0" xfId="0" applyFont="1"/>
    <xf numFmtId="0" fontId="10" fillId="0" borderId="0" xfId="0" applyFont="1"/>
    <xf numFmtId="9" fontId="0" fillId="0" borderId="0" xfId="0" applyNumberFormat="1"/>
    <xf numFmtId="0" fontId="0" fillId="0" borderId="1" xfId="0" applyBorder="1"/>
    <xf numFmtId="0" fontId="0" fillId="13" borderId="1" xfId="0" applyFill="1" applyBorder="1"/>
    <xf numFmtId="0" fontId="1" fillId="5" borderId="1" xfId="0" applyFont="1" applyFill="1" applyBorder="1"/>
    <xf numFmtId="0" fontId="8" fillId="14" borderId="1" xfId="0" applyFont="1" applyFill="1" applyBorder="1"/>
    <xf numFmtId="0" fontId="0" fillId="6" borderId="1" xfId="0" applyFill="1" applyBorder="1"/>
    <xf numFmtId="168" fontId="0" fillId="0" borderId="1" xfId="0" applyNumberFormat="1" applyBorder="1"/>
    <xf numFmtId="0" fontId="12" fillId="0" borderId="0" xfId="0" applyFont="1"/>
    <xf numFmtId="0" fontId="14" fillId="0" borderId="0" xfId="0" applyFont="1"/>
    <xf numFmtId="0" fontId="1" fillId="15" borderId="0" xfId="0" applyFont="1" applyFill="1"/>
    <xf numFmtId="0" fontId="1" fillId="15" borderId="2" xfId="0" applyFont="1" applyFill="1" applyBorder="1"/>
    <xf numFmtId="0" fontId="1" fillId="15" borderId="1" xfId="0" applyFont="1" applyFill="1" applyBorder="1"/>
    <xf numFmtId="0" fontId="0" fillId="7" borderId="1" xfId="0" applyFill="1" applyBorder="1"/>
    <xf numFmtId="0" fontId="15" fillId="0" borderId="1" xfId="0" applyFont="1" applyBorder="1"/>
    <xf numFmtId="0" fontId="0" fillId="18" borderId="0" xfId="0" applyFill="1"/>
    <xf numFmtId="0" fontId="1" fillId="6" borderId="2" xfId="0" applyFont="1" applyFill="1" applyBorder="1"/>
    <xf numFmtId="0" fontId="1" fillId="16" borderId="2" xfId="0" applyFont="1" applyFill="1" applyBorder="1"/>
    <xf numFmtId="0" fontId="16" fillId="0" borderId="0" xfId="0" applyFont="1"/>
    <xf numFmtId="169" fontId="0" fillId="0" borderId="0" xfId="0" applyNumberFormat="1"/>
    <xf numFmtId="0" fontId="1" fillId="19" borderId="1" xfId="0" applyFont="1" applyFill="1" applyBorder="1"/>
    <xf numFmtId="3" fontId="0" fillId="7" borderId="1" xfId="0" applyNumberFormat="1" applyFill="1" applyBorder="1"/>
    <xf numFmtId="168" fontId="0" fillId="7" borderId="1" xfId="0" applyNumberFormat="1" applyFill="1" applyBorder="1"/>
    <xf numFmtId="168" fontId="0" fillId="0" borderId="0" xfId="0" applyNumberFormat="1"/>
    <xf numFmtId="168" fontId="0" fillId="6" borderId="1" xfId="0" applyNumberFormat="1" applyFill="1" applyBorder="1"/>
    <xf numFmtId="166" fontId="0" fillId="6" borderId="1" xfId="0" applyNumberFormat="1" applyFill="1" applyBorder="1"/>
    <xf numFmtId="0" fontId="1" fillId="19" borderId="3" xfId="0" applyFont="1" applyFill="1" applyBorder="1"/>
    <xf numFmtId="0" fontId="0" fillId="20" borderId="0" xfId="0" applyFill="1"/>
    <xf numFmtId="0" fontId="0" fillId="20" borderId="1" xfId="0" applyFill="1" applyBorder="1"/>
    <xf numFmtId="3" fontId="0" fillId="20" borderId="1" xfId="0" applyNumberFormat="1" applyFill="1" applyBorder="1"/>
    <xf numFmtId="168" fontId="0" fillId="20" borderId="1" xfId="0" applyNumberFormat="1" applyFill="1" applyBorder="1"/>
    <xf numFmtId="0" fontId="0" fillId="21" borderId="1" xfId="0" applyFill="1" applyBorder="1"/>
    <xf numFmtId="3" fontId="0" fillId="21" borderId="1" xfId="0" applyNumberFormat="1" applyFill="1" applyBorder="1"/>
    <xf numFmtId="168" fontId="0" fillId="21" borderId="1" xfId="0" applyNumberFormat="1" applyFill="1" applyBorder="1"/>
    <xf numFmtId="0" fontId="0" fillId="22" borderId="1" xfId="0" applyFill="1" applyBorder="1"/>
    <xf numFmtId="3" fontId="0" fillId="22" borderId="1" xfId="0" applyNumberFormat="1" applyFill="1" applyBorder="1"/>
    <xf numFmtId="168" fontId="0" fillId="22" borderId="1" xfId="0" applyNumberFormat="1" applyFill="1" applyBorder="1"/>
    <xf numFmtId="10" fontId="0" fillId="0" borderId="0" xfId="0" applyNumberFormat="1"/>
    <xf numFmtId="10" fontId="0" fillId="7" borderId="1" xfId="0" applyNumberFormat="1" applyFill="1" applyBorder="1"/>
    <xf numFmtId="1" fontId="0" fillId="7" borderId="1" xfId="0" applyNumberFormat="1" applyFill="1" applyBorder="1"/>
    <xf numFmtId="167" fontId="0" fillId="6" borderId="1" xfId="0" applyNumberFormat="1" applyFill="1" applyBorder="1"/>
    <xf numFmtId="166" fontId="0" fillId="7" borderId="1" xfId="0" applyNumberFormat="1" applyFill="1" applyBorder="1"/>
    <xf numFmtId="167" fontId="0" fillId="5" borderId="1" xfId="0" applyNumberFormat="1" applyFill="1" applyBorder="1"/>
    <xf numFmtId="166" fontId="0" fillId="16" borderId="1" xfId="0" applyNumberFormat="1" applyFill="1" applyBorder="1"/>
    <xf numFmtId="0" fontId="0" fillId="25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12" fillId="0" borderId="0" xfId="0" applyFont="1" applyAlignment="1">
      <alignment horizontal="right"/>
    </xf>
    <xf numFmtId="168" fontId="0" fillId="5" borderId="1" xfId="0" applyNumberFormat="1" applyFill="1" applyBorder="1"/>
    <xf numFmtId="0" fontId="1" fillId="6" borderId="1" xfId="0" applyFont="1" applyFill="1" applyBorder="1" applyAlignment="1">
      <alignment horizontal="center"/>
    </xf>
    <xf numFmtId="166" fontId="1" fillId="16" borderId="1" xfId="0" applyNumberFormat="1" applyFont="1" applyFill="1" applyBorder="1"/>
    <xf numFmtId="0" fontId="1" fillId="0" borderId="1" xfId="0" applyFont="1" applyBorder="1"/>
    <xf numFmtId="0" fontId="1" fillId="20" borderId="1" xfId="0" applyFont="1" applyFill="1" applyBorder="1"/>
    <xf numFmtId="0" fontId="1" fillId="16" borderId="1" xfId="0" applyFont="1" applyFill="1" applyBorder="1"/>
    <xf numFmtId="0" fontId="1" fillId="26" borderId="1" xfId="0" applyFont="1" applyFill="1" applyBorder="1"/>
    <xf numFmtId="0" fontId="1" fillId="19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8" fontId="0" fillId="0" borderId="0" xfId="0" applyNumberFormat="1"/>
    <xf numFmtId="0" fontId="1" fillId="28" borderId="0" xfId="0" applyFont="1" applyFill="1"/>
    <xf numFmtId="0" fontId="1" fillId="16" borderId="0" xfId="0" applyFont="1" applyFill="1"/>
    <xf numFmtId="0" fontId="1" fillId="28" borderId="1" xfId="0" applyFont="1" applyFill="1" applyBorder="1"/>
    <xf numFmtId="9" fontId="0" fillId="0" borderId="1" xfId="0" applyNumberFormat="1" applyBorder="1"/>
    <xf numFmtId="0" fontId="1" fillId="7" borderId="1" xfId="0" applyFont="1" applyFill="1" applyBorder="1"/>
    <xf numFmtId="6" fontId="0" fillId="0" borderId="1" xfId="0" applyNumberFormat="1" applyBorder="1"/>
    <xf numFmtId="6" fontId="1" fillId="20" borderId="1" xfId="0" applyNumberFormat="1" applyFont="1" applyFill="1" applyBorder="1"/>
    <xf numFmtId="3" fontId="0" fillId="0" borderId="1" xfId="0" applyNumberFormat="1" applyBorder="1"/>
    <xf numFmtId="3" fontId="1" fillId="20" borderId="1" xfId="0" applyNumberFormat="1" applyFont="1" applyFill="1" applyBorder="1"/>
    <xf numFmtId="170" fontId="0" fillId="25" borderId="1" xfId="0" applyNumberFormat="1" applyFill="1" applyBorder="1" applyAlignment="1">
      <alignment horizontal="center"/>
    </xf>
    <xf numFmtId="0" fontId="8" fillId="30" borderId="1" xfId="0" applyFont="1" applyFill="1" applyBorder="1"/>
    <xf numFmtId="0" fontId="0" fillId="31" borderId="1" xfId="0" applyFill="1" applyBorder="1"/>
    <xf numFmtId="0" fontId="19" fillId="0" borderId="0" xfId="0" applyFont="1"/>
    <xf numFmtId="0" fontId="1" fillId="33" borderId="0" xfId="0" applyFont="1" applyFill="1"/>
    <xf numFmtId="0" fontId="20" fillId="0" borderId="0" xfId="0" applyFont="1"/>
    <xf numFmtId="0" fontId="1" fillId="33" borderId="1" xfId="0" applyFont="1" applyFill="1" applyBorder="1"/>
    <xf numFmtId="9" fontId="1" fillId="35" borderId="0" xfId="0" applyNumberFormat="1" applyFont="1" applyFill="1"/>
    <xf numFmtId="169" fontId="0" fillId="0" borderId="1" xfId="0" applyNumberFormat="1" applyBorder="1"/>
    <xf numFmtId="164" fontId="0" fillId="0" borderId="1" xfId="0" applyNumberFormat="1" applyBorder="1"/>
    <xf numFmtId="0" fontId="1" fillId="37" borderId="0" xfId="0" applyFont="1" applyFill="1"/>
    <xf numFmtId="0" fontId="12" fillId="0" borderId="1" xfId="0" applyFont="1" applyBorder="1"/>
    <xf numFmtId="0" fontId="1" fillId="39" borderId="1" xfId="0" applyFont="1" applyFill="1" applyBorder="1"/>
    <xf numFmtId="0" fontId="1" fillId="41" borderId="1" xfId="0" applyFont="1" applyFill="1" applyBorder="1"/>
    <xf numFmtId="0" fontId="1" fillId="37" borderId="1" xfId="0" applyFont="1" applyFill="1" applyBorder="1"/>
    <xf numFmtId="0" fontId="21" fillId="0" borderId="0" xfId="0" applyFont="1"/>
    <xf numFmtId="0" fontId="23" fillId="0" borderId="0" xfId="0" applyFont="1"/>
    <xf numFmtId="0" fontId="0" fillId="0" borderId="2" xfId="0" applyBorder="1"/>
    <xf numFmtId="0" fontId="8" fillId="42" borderId="1" xfId="0" applyFont="1" applyFill="1" applyBorder="1" applyAlignment="1">
      <alignment horizontal="center"/>
    </xf>
    <xf numFmtId="0" fontId="0" fillId="44" borderId="4" xfId="0" applyFill="1" applyBorder="1"/>
    <xf numFmtId="0" fontId="0" fillId="44" borderId="5" xfId="0" applyFill="1" applyBorder="1"/>
    <xf numFmtId="0" fontId="0" fillId="44" borderId="6" xfId="0" applyFill="1" applyBorder="1"/>
    <xf numFmtId="0" fontId="0" fillId="45" borderId="1" xfId="0" applyFill="1" applyBorder="1"/>
    <xf numFmtId="0" fontId="24" fillId="0" borderId="0" xfId="0" applyFont="1"/>
    <xf numFmtId="0" fontId="0" fillId="41" borderId="1" xfId="0" applyFill="1" applyBorder="1"/>
    <xf numFmtId="0" fontId="1" fillId="38" borderId="1" xfId="0" applyFont="1" applyFill="1" applyBorder="1"/>
    <xf numFmtId="0" fontId="1" fillId="49" borderId="1" xfId="0" applyFont="1" applyFill="1" applyBorder="1" applyAlignment="1">
      <alignment horizont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5" fillId="6" borderId="0" xfId="0" applyFont="1" applyFill="1"/>
    <xf numFmtId="14" fontId="1" fillId="28" borderId="0" xfId="0" applyNumberFormat="1" applyFont="1" applyFill="1"/>
    <xf numFmtId="0" fontId="0" fillId="55" borderId="1" xfId="0" applyFill="1" applyBorder="1"/>
    <xf numFmtId="0" fontId="5" fillId="7" borderId="0" xfId="0" applyFont="1" applyFill="1"/>
    <xf numFmtId="0" fontId="0" fillId="7" borderId="0" xfId="0" applyFill="1"/>
    <xf numFmtId="167" fontId="0" fillId="0" borderId="0" xfId="0" applyNumberFormat="1"/>
    <xf numFmtId="0" fontId="5" fillId="56" borderId="0" xfId="0" applyFont="1" applyFill="1"/>
    <xf numFmtId="0" fontId="0" fillId="56" borderId="0" xfId="0" applyFill="1"/>
    <xf numFmtId="0" fontId="1" fillId="9" borderId="1" xfId="0" applyFont="1" applyFill="1" applyBorder="1"/>
    <xf numFmtId="0" fontId="1" fillId="9" borderId="3" xfId="0" applyFont="1" applyFill="1" applyBorder="1"/>
    <xf numFmtId="0" fontId="1" fillId="57" borderId="1" xfId="0" applyFont="1" applyFill="1" applyBorder="1"/>
    <xf numFmtId="0" fontId="1" fillId="57" borderId="3" xfId="0" applyFont="1" applyFill="1" applyBorder="1"/>
    <xf numFmtId="0" fontId="1" fillId="58" borderId="1" xfId="0" applyFont="1" applyFill="1" applyBorder="1"/>
    <xf numFmtId="0" fontId="1" fillId="59" borderId="1" xfId="0" applyFont="1" applyFill="1" applyBorder="1"/>
    <xf numFmtId="0" fontId="1" fillId="59" borderId="3" xfId="0" applyFont="1" applyFill="1" applyBorder="1"/>
    <xf numFmtId="0" fontId="1" fillId="20" borderId="3" xfId="0" applyFont="1" applyFill="1" applyBorder="1"/>
    <xf numFmtId="0" fontId="7" fillId="8" borderId="0" xfId="0" applyFont="1" applyFill="1"/>
    <xf numFmtId="0" fontId="0" fillId="0" borderId="0" xfId="0"/>
    <xf numFmtId="0" fontId="6" fillId="2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7" fillId="4" borderId="0" xfId="0" applyFont="1" applyFill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40" borderId="0" xfId="0" applyFont="1" applyFill="1"/>
    <xf numFmtId="0" fontId="7" fillId="42" borderId="0" xfId="0" applyFont="1" applyFill="1"/>
    <xf numFmtId="0" fontId="18" fillId="29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" fillId="32" borderId="0" xfId="0" applyFont="1" applyFill="1"/>
    <xf numFmtId="0" fontId="1" fillId="34" borderId="0" xfId="0" applyFont="1" applyFill="1"/>
    <xf numFmtId="0" fontId="1" fillId="36" borderId="0" xfId="0" applyFont="1" applyFill="1"/>
    <xf numFmtId="0" fontId="1" fillId="38" borderId="0" xfId="0" applyFont="1" applyFill="1"/>
    <xf numFmtId="0" fontId="6" fillId="2" borderId="0" xfId="0" applyFont="1" applyFill="1"/>
    <xf numFmtId="0" fontId="5" fillId="6" borderId="0" xfId="0" applyFont="1" applyFill="1"/>
    <xf numFmtId="0" fontId="13" fillId="54" borderId="0" xfId="0" applyFont="1" applyFill="1"/>
    <xf numFmtId="0" fontId="0" fillId="54" borderId="0" xfId="0" applyFill="1"/>
    <xf numFmtId="0" fontId="7" fillId="14" borderId="0" xfId="0" applyFont="1" applyFill="1"/>
    <xf numFmtId="0" fontId="22" fillId="29" borderId="0" xfId="0" applyFont="1" applyFill="1" applyAlignment="1">
      <alignment horizontal="center"/>
    </xf>
    <xf numFmtId="0" fontId="0" fillId="29" borderId="0" xfId="0" applyFill="1"/>
    <xf numFmtId="0" fontId="12" fillId="31" borderId="0" xfId="0" applyFont="1" applyFill="1" applyAlignment="1">
      <alignment horizontal="center"/>
    </xf>
    <xf numFmtId="0" fontId="0" fillId="31" borderId="0" xfId="0" applyFill="1"/>
    <xf numFmtId="0" fontId="4" fillId="30" borderId="0" xfId="0" applyFont="1" applyFill="1"/>
    <xf numFmtId="0" fontId="0" fillId="30" borderId="0" xfId="0" applyFill="1"/>
    <xf numFmtId="0" fontId="7" fillId="43" borderId="0" xfId="0" applyFont="1" applyFill="1"/>
    <xf numFmtId="0" fontId="0" fillId="43" borderId="0" xfId="0" applyFill="1"/>
    <xf numFmtId="0" fontId="7" fillId="46" borderId="0" xfId="0" applyFont="1" applyFill="1"/>
    <xf numFmtId="0" fontId="0" fillId="46" borderId="0" xfId="0" applyFill="1"/>
    <xf numFmtId="0" fontId="4" fillId="53" borderId="0" xfId="0" applyFont="1" applyFill="1"/>
    <xf numFmtId="0" fontId="26" fillId="53" borderId="0" xfId="0" applyFont="1" applyFill="1"/>
    <xf numFmtId="0" fontId="4" fillId="47" borderId="0" xfId="0" applyFont="1" applyFill="1"/>
    <xf numFmtId="0" fontId="0" fillId="47" borderId="0" xfId="0" applyFill="1"/>
    <xf numFmtId="0" fontId="4" fillId="48" borderId="0" xfId="0" applyFont="1" applyFill="1"/>
    <xf numFmtId="0" fontId="0" fillId="48" borderId="0" xfId="0" applyFill="1"/>
    <xf numFmtId="0" fontId="4" fillId="50" borderId="0" xfId="0" applyFont="1" applyFill="1"/>
    <xf numFmtId="0" fontId="0" fillId="50" borderId="0" xfId="0" applyFill="1"/>
    <xf numFmtId="0" fontId="4" fillId="51" borderId="0" xfId="0" applyFont="1" applyFill="1"/>
    <xf numFmtId="0" fontId="0" fillId="51" borderId="0" xfId="0" applyFill="1"/>
    <xf numFmtId="0" fontId="4" fillId="52" borderId="0" xfId="0" applyFont="1" applyFill="1"/>
    <xf numFmtId="0" fontId="0" fillId="52" borderId="0" xfId="0" applyFill="1"/>
    <xf numFmtId="0" fontId="8" fillId="4" borderId="0" xfId="0" applyFont="1" applyFill="1"/>
    <xf numFmtId="0" fontId="8" fillId="8" borderId="0" xfId="0" applyFont="1" applyFill="1"/>
    <xf numFmtId="0" fontId="1" fillId="9" borderId="0" xfId="0" applyFont="1" applyFill="1"/>
    <xf numFmtId="0" fontId="4" fillId="4" borderId="0" xfId="0" applyFont="1" applyFill="1"/>
    <xf numFmtId="0" fontId="0" fillId="0" borderId="0" xfId="0" applyAlignment="1">
      <alignment wrapText="1"/>
    </xf>
    <xf numFmtId="0" fontId="4" fillId="23" borderId="0" xfId="0" applyFont="1" applyFill="1"/>
    <xf numFmtId="0" fontId="4" fillId="2" borderId="0" xfId="0" applyFont="1" applyFill="1"/>
    <xf numFmtId="0" fontId="4" fillId="27" borderId="0" xfId="0" applyFont="1" applyFill="1"/>
    <xf numFmtId="0" fontId="5" fillId="9" borderId="0" xfId="0" applyFont="1" applyFill="1"/>
    <xf numFmtId="0" fontId="17" fillId="6" borderId="0" xfId="0" applyFont="1" applyFill="1"/>
    <xf numFmtId="0" fontId="4" fillId="24" borderId="0" xfId="0" applyFont="1" applyFill="1"/>
    <xf numFmtId="0" fontId="4" fillId="17" borderId="0" xfId="0" applyFont="1" applyFill="1"/>
    <xf numFmtId="0" fontId="12" fillId="22" borderId="0" xfId="0" applyFont="1" applyFill="1"/>
    <xf numFmtId="0" fontId="1" fillId="11" borderId="0" xfId="0" applyFont="1" applyFill="1"/>
    <xf numFmtId="0" fontId="8" fillId="12" borderId="0" xfId="0" applyFont="1" applyFill="1"/>
    <xf numFmtId="0" fontId="11" fillId="60" borderId="10" xfId="0" applyFont="1" applyFill="1" applyBorder="1"/>
    <xf numFmtId="0" fontId="11" fillId="60" borderId="11" xfId="0" applyFont="1" applyFill="1" applyBorder="1"/>
    <xf numFmtId="0" fontId="11" fillId="60" borderId="12" xfId="0" applyFont="1" applyFill="1" applyBorder="1"/>
    <xf numFmtId="0" fontId="0" fillId="61" borderId="10" xfId="0" applyFont="1" applyFill="1" applyBorder="1"/>
    <xf numFmtId="165" fontId="0" fillId="61" borderId="11" xfId="0" applyNumberFormat="1" applyFont="1" applyFill="1" applyBorder="1"/>
    <xf numFmtId="0" fontId="0" fillId="61" borderId="11" xfId="0" applyFont="1" applyFill="1" applyBorder="1"/>
    <xf numFmtId="164" fontId="0" fillId="61" borderId="11" xfId="0" applyNumberFormat="1" applyFont="1" applyFill="1" applyBorder="1"/>
    <xf numFmtId="164" fontId="0" fillId="61" borderId="12" xfId="0" applyNumberFormat="1" applyFont="1" applyFill="1" applyBorder="1"/>
    <xf numFmtId="0" fontId="0" fillId="60" borderId="10" xfId="0" applyFont="1" applyFill="1" applyBorder="1"/>
    <xf numFmtId="165" fontId="0" fillId="60" borderId="11" xfId="0" applyNumberFormat="1" applyFont="1" applyFill="1" applyBorder="1"/>
    <xf numFmtId="0" fontId="0" fillId="60" borderId="11" xfId="0" applyFont="1" applyFill="1" applyBorder="1"/>
    <xf numFmtId="164" fontId="0" fillId="60" borderId="11" xfId="0" applyNumberFormat="1" applyFont="1" applyFill="1" applyBorder="1"/>
    <xf numFmtId="164" fontId="0" fillId="60" borderId="12" xfId="0" applyNumberFormat="1" applyFont="1" applyFill="1" applyBorder="1"/>
    <xf numFmtId="0" fontId="0" fillId="60" borderId="7" xfId="0" applyFont="1" applyFill="1" applyBorder="1"/>
    <xf numFmtId="165" fontId="0" fillId="60" borderId="8" xfId="0" applyNumberFormat="1" applyFont="1" applyFill="1" applyBorder="1"/>
    <xf numFmtId="0" fontId="0" fillId="60" borderId="8" xfId="0" applyFont="1" applyFill="1" applyBorder="1"/>
    <xf numFmtId="164" fontId="0" fillId="60" borderId="8" xfId="0" applyNumberFormat="1" applyFont="1" applyFill="1" applyBorder="1"/>
    <xf numFmtId="164" fontId="0" fillId="60" borderId="9" xfId="0" applyNumberFormat="1" applyFont="1" applyFill="1" applyBorder="1"/>
    <xf numFmtId="0" fontId="1" fillId="62" borderId="0" xfId="0" applyFont="1" applyFill="1"/>
    <xf numFmtId="0" fontId="12" fillId="0" borderId="0" xfId="0" applyFont="1"/>
    <xf numFmtId="0" fontId="29" fillId="0" borderId="0" xfId="0" applyFont="1"/>
    <xf numFmtId="0" fontId="1" fillId="3" borderId="0" xfId="0" applyFont="1" applyFill="1"/>
    <xf numFmtId="4" fontId="0" fillId="0" borderId="0" xfId="0" applyNumberFormat="1"/>
    <xf numFmtId="167" fontId="0" fillId="6" borderId="0" xfId="0" applyNumberFormat="1" applyFill="1"/>
    <xf numFmtId="0" fontId="5" fillId="7" borderId="0" xfId="0" applyFont="1" applyFill="1"/>
    <xf numFmtId="0" fontId="1" fillId="20" borderId="0" xfId="0" applyFont="1" applyFill="1"/>
    <xf numFmtId="167" fontId="1" fillId="20" borderId="0" xfId="0" applyNumberFormat="1" applyFont="1" applyFill="1"/>
    <xf numFmtId="0" fontId="5" fillId="25" borderId="0" xfId="0" applyFont="1" applyFill="1"/>
    <xf numFmtId="167" fontId="0" fillId="5" borderId="0" xfId="0" applyNumberFormat="1" applyFill="1"/>
    <xf numFmtId="0" fontId="1" fillId="58" borderId="0" xfId="0" applyFont="1" applyFill="1"/>
    <xf numFmtId="166" fontId="1" fillId="58" borderId="0" xfId="0" applyNumberFormat="1" applyFont="1" applyFill="1"/>
    <xf numFmtId="0" fontId="5" fillId="63" borderId="0" xfId="0" applyFont="1" applyFill="1"/>
    <xf numFmtId="0" fontId="1" fillId="64" borderId="0" xfId="0" applyFont="1" applyFill="1"/>
    <xf numFmtId="0" fontId="30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C3B7-21A9-40B3-8812-A05E8738723D}">
  <sheetPr codeName="Sheet1"/>
  <dimension ref="A1:H37"/>
  <sheetViews>
    <sheetView workbookViewId="0">
      <selection activeCell="F7" sqref="F7"/>
    </sheetView>
  </sheetViews>
  <sheetFormatPr defaultRowHeight="14.4" x14ac:dyDescent="0.3"/>
  <cols>
    <col min="1" max="1" width="42.6640625" bestFit="1" customWidth="1"/>
    <col min="2" max="2" width="24.88671875" bestFit="1" customWidth="1"/>
    <col min="3" max="3" width="11.21875" bestFit="1" customWidth="1"/>
    <col min="4" max="4" width="43.33203125" bestFit="1" customWidth="1"/>
  </cols>
  <sheetData>
    <row r="1" spans="1:8" ht="40.049999999999997" customHeight="1" x14ac:dyDescent="0.45">
      <c r="A1" s="132" t="s">
        <v>0</v>
      </c>
      <c r="B1" s="128"/>
      <c r="C1" s="128"/>
      <c r="D1" s="128"/>
      <c r="E1" s="128"/>
      <c r="F1" s="128"/>
      <c r="G1" s="128"/>
      <c r="H1" s="128"/>
    </row>
    <row r="2" spans="1:8" ht="15.6" x14ac:dyDescent="0.3">
      <c r="A2" s="133" t="s">
        <v>1</v>
      </c>
      <c r="B2" s="128"/>
      <c r="C2" s="128"/>
      <c r="D2" s="128"/>
      <c r="E2" s="128"/>
      <c r="F2" s="128"/>
      <c r="G2" s="128"/>
      <c r="H2" s="128"/>
    </row>
    <row r="4" spans="1:8" ht="18" x14ac:dyDescent="0.35">
      <c r="A4" s="2" t="s">
        <v>2</v>
      </c>
    </row>
    <row r="6" spans="1:8" x14ac:dyDescent="0.3">
      <c r="A6" s="3" t="s">
        <v>3</v>
      </c>
      <c r="B6" s="3" t="s">
        <v>4</v>
      </c>
      <c r="C6" s="3" t="s">
        <v>5</v>
      </c>
      <c r="D6" s="3" t="s">
        <v>6</v>
      </c>
    </row>
    <row r="7" spans="1:8" x14ac:dyDescent="0.3">
      <c r="A7">
        <v>1</v>
      </c>
      <c r="B7" t="s">
        <v>7</v>
      </c>
      <c r="C7" t="s">
        <v>8</v>
      </c>
      <c r="D7" t="s">
        <v>9</v>
      </c>
    </row>
    <row r="8" spans="1:8" x14ac:dyDescent="0.3">
      <c r="A8">
        <v>2</v>
      </c>
      <c r="B8" t="s">
        <v>10</v>
      </c>
      <c r="C8" t="s">
        <v>11</v>
      </c>
      <c r="D8" t="s">
        <v>12</v>
      </c>
    </row>
    <row r="9" spans="1:8" x14ac:dyDescent="0.3">
      <c r="A9">
        <v>3</v>
      </c>
      <c r="B9" t="s">
        <v>13</v>
      </c>
      <c r="C9" t="s">
        <v>14</v>
      </c>
      <c r="D9" t="s">
        <v>15</v>
      </c>
    </row>
    <row r="10" spans="1:8" x14ac:dyDescent="0.3">
      <c r="A10">
        <v>4</v>
      </c>
      <c r="B10" t="s">
        <v>16</v>
      </c>
      <c r="C10" t="s">
        <v>11</v>
      </c>
      <c r="D10" t="s">
        <v>17</v>
      </c>
    </row>
    <row r="11" spans="1:8" x14ac:dyDescent="0.3">
      <c r="A11">
        <v>5</v>
      </c>
      <c r="B11" t="s">
        <v>18</v>
      </c>
      <c r="C11" t="s">
        <v>14</v>
      </c>
      <c r="D11" t="s">
        <v>19</v>
      </c>
    </row>
    <row r="12" spans="1:8" x14ac:dyDescent="0.3">
      <c r="A12">
        <v>6</v>
      </c>
      <c r="B12" t="s">
        <v>20</v>
      </c>
      <c r="C12" t="s">
        <v>21</v>
      </c>
      <c r="D12" t="s">
        <v>22</v>
      </c>
    </row>
    <row r="13" spans="1:8" x14ac:dyDescent="0.3">
      <c r="A13">
        <v>7</v>
      </c>
      <c r="B13" t="s">
        <v>23</v>
      </c>
      <c r="C13" t="s">
        <v>21</v>
      </c>
      <c r="D13" t="s">
        <v>24</v>
      </c>
    </row>
    <row r="14" spans="1:8" x14ac:dyDescent="0.3">
      <c r="A14">
        <v>8</v>
      </c>
      <c r="B14" t="s">
        <v>25</v>
      </c>
      <c r="C14" t="s">
        <v>26</v>
      </c>
      <c r="D14" t="s">
        <v>27</v>
      </c>
    </row>
    <row r="15" spans="1:8" x14ac:dyDescent="0.3">
      <c r="A15" s="98">
        <v>9</v>
      </c>
      <c r="B15" s="98" t="s">
        <v>1497</v>
      </c>
      <c r="C15" s="98" t="s">
        <v>14</v>
      </c>
      <c r="D15" s="98" t="s">
        <v>1498</v>
      </c>
    </row>
    <row r="16" spans="1:8" ht="15.6" x14ac:dyDescent="0.3">
      <c r="A16" s="4" t="s">
        <v>28</v>
      </c>
    </row>
    <row r="17" spans="1:2" x14ac:dyDescent="0.3">
      <c r="A17" t="s">
        <v>29</v>
      </c>
    </row>
    <row r="18" spans="1:2" x14ac:dyDescent="0.3">
      <c r="A18" t="s">
        <v>30</v>
      </c>
    </row>
    <row r="19" spans="1:2" x14ac:dyDescent="0.3">
      <c r="A19" t="s">
        <v>31</v>
      </c>
    </row>
    <row r="20" spans="1:2" x14ac:dyDescent="0.3">
      <c r="A20" t="s">
        <v>32</v>
      </c>
    </row>
    <row r="21" spans="1:2" x14ac:dyDescent="0.3">
      <c r="A21" t="s">
        <v>33</v>
      </c>
    </row>
    <row r="23" spans="1:2" ht="15.6" x14ac:dyDescent="0.3">
      <c r="A23" s="4" t="s">
        <v>521</v>
      </c>
    </row>
    <row r="24" spans="1:2" x14ac:dyDescent="0.3">
      <c r="A24" s="3" t="s">
        <v>522</v>
      </c>
      <c r="B24" s="3" t="s">
        <v>523</v>
      </c>
    </row>
    <row r="25" spans="1:2" x14ac:dyDescent="0.3">
      <c r="A25" t="s">
        <v>524</v>
      </c>
      <c r="B25" t="s">
        <v>525</v>
      </c>
    </row>
    <row r="26" spans="1:2" x14ac:dyDescent="0.3">
      <c r="A26" t="s">
        <v>526</v>
      </c>
      <c r="B26" t="s">
        <v>527</v>
      </c>
    </row>
    <row r="27" spans="1:2" x14ac:dyDescent="0.3">
      <c r="A27" t="s">
        <v>528</v>
      </c>
      <c r="B27" t="s">
        <v>529</v>
      </c>
    </row>
    <row r="28" spans="1:2" x14ac:dyDescent="0.3">
      <c r="A28" t="s">
        <v>530</v>
      </c>
      <c r="B28" t="s">
        <v>531</v>
      </c>
    </row>
    <row r="29" spans="1:2" x14ac:dyDescent="0.3">
      <c r="A29" t="s">
        <v>532</v>
      </c>
      <c r="B29" t="s">
        <v>533</v>
      </c>
    </row>
    <row r="30" spans="1:2" x14ac:dyDescent="0.3">
      <c r="A30" t="s">
        <v>534</v>
      </c>
      <c r="B30" t="s">
        <v>535</v>
      </c>
    </row>
    <row r="31" spans="1:2" x14ac:dyDescent="0.3">
      <c r="A31" t="s">
        <v>536</v>
      </c>
      <c r="B31" t="s">
        <v>537</v>
      </c>
    </row>
    <row r="32" spans="1:2" x14ac:dyDescent="0.3">
      <c r="A32" t="s">
        <v>538</v>
      </c>
      <c r="B32" t="s">
        <v>539</v>
      </c>
    </row>
    <row r="33" spans="1:2" x14ac:dyDescent="0.3">
      <c r="A33" t="s">
        <v>540</v>
      </c>
      <c r="B33" t="s">
        <v>541</v>
      </c>
    </row>
    <row r="34" spans="1:2" x14ac:dyDescent="0.3">
      <c r="A34" t="s">
        <v>542</v>
      </c>
      <c r="B34" t="s">
        <v>543</v>
      </c>
    </row>
    <row r="35" spans="1:2" x14ac:dyDescent="0.3">
      <c r="A35" t="s">
        <v>544</v>
      </c>
      <c r="B35" t="s">
        <v>545</v>
      </c>
    </row>
    <row r="36" spans="1:2" x14ac:dyDescent="0.3">
      <c r="A36" t="s">
        <v>546</v>
      </c>
      <c r="B36" t="s">
        <v>547</v>
      </c>
    </row>
    <row r="37" spans="1:2" x14ac:dyDescent="0.3">
      <c r="A37" t="s">
        <v>548</v>
      </c>
      <c r="B37" t="s">
        <v>549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21A7-8C85-43A4-A5D5-2192E39066F0}">
  <sheetPr codeName="Sheet3"/>
  <dimension ref="A2:H72"/>
  <sheetViews>
    <sheetView topLeftCell="A59" zoomScale="115" zoomScaleNormal="115" workbookViewId="0">
      <selection activeCell="B27" sqref="B27"/>
    </sheetView>
  </sheetViews>
  <sheetFormatPr defaultRowHeight="14.4" x14ac:dyDescent="0.3"/>
  <cols>
    <col min="1" max="1" width="22.21875" customWidth="1"/>
    <col min="2" max="2" width="15.77734375" customWidth="1"/>
    <col min="3" max="3" width="13" customWidth="1"/>
    <col min="4" max="4" width="25.88671875" customWidth="1"/>
    <col min="5" max="5" width="33.33203125" customWidth="1"/>
  </cols>
  <sheetData>
    <row r="2" spans="1:8" ht="21" x14ac:dyDescent="0.4">
      <c r="A2" s="136" t="s">
        <v>886</v>
      </c>
      <c r="B2" s="136"/>
      <c r="C2" s="136"/>
      <c r="D2" s="136"/>
      <c r="E2" s="136"/>
      <c r="F2" s="136"/>
      <c r="G2" s="136"/>
      <c r="H2" s="136"/>
    </row>
    <row r="3" spans="1:8" x14ac:dyDescent="0.3">
      <c r="A3" s="137" t="s">
        <v>887</v>
      </c>
      <c r="B3" s="137"/>
      <c r="C3" s="137"/>
      <c r="D3" s="137"/>
      <c r="E3" s="137"/>
      <c r="F3" s="137"/>
      <c r="G3" s="137"/>
      <c r="H3" s="137"/>
    </row>
    <row r="5" spans="1:8" x14ac:dyDescent="0.3">
      <c r="A5" s="82" t="s">
        <v>888</v>
      </c>
      <c r="B5" s="82" t="s">
        <v>889</v>
      </c>
      <c r="C5" s="82" t="s">
        <v>171</v>
      </c>
      <c r="D5" s="82" t="s">
        <v>890</v>
      </c>
      <c r="E5" s="82" t="s">
        <v>891</v>
      </c>
    </row>
    <row r="6" spans="1:8" x14ac:dyDescent="0.3">
      <c r="A6" s="83" t="s">
        <v>892</v>
      </c>
      <c r="B6" s="83" t="s">
        <v>893</v>
      </c>
      <c r="C6" s="83" t="s">
        <v>894</v>
      </c>
      <c r="D6" s="83" t="s">
        <v>895</v>
      </c>
      <c r="E6" s="83" t="s">
        <v>896</v>
      </c>
    </row>
    <row r="7" spans="1:8" x14ac:dyDescent="0.3">
      <c r="A7" s="17" t="s">
        <v>897</v>
      </c>
      <c r="B7" s="17" t="s">
        <v>898</v>
      </c>
      <c r="C7" s="17" t="s">
        <v>899</v>
      </c>
      <c r="D7" s="17" t="s">
        <v>900</v>
      </c>
      <c r="E7" s="17" t="s">
        <v>901</v>
      </c>
    </row>
    <row r="8" spans="1:8" x14ac:dyDescent="0.3">
      <c r="A8" s="83" t="s">
        <v>902</v>
      </c>
      <c r="B8" s="83" t="s">
        <v>903</v>
      </c>
      <c r="C8" s="83" t="s">
        <v>904</v>
      </c>
      <c r="D8" s="83" t="s">
        <v>905</v>
      </c>
      <c r="E8" s="83" t="s">
        <v>906</v>
      </c>
    </row>
    <row r="9" spans="1:8" x14ac:dyDescent="0.3">
      <c r="A9" s="17" t="s">
        <v>907</v>
      </c>
      <c r="B9" s="17" t="s">
        <v>908</v>
      </c>
      <c r="C9" s="17" t="s">
        <v>909</v>
      </c>
      <c r="D9" s="17" t="s">
        <v>910</v>
      </c>
      <c r="E9" s="17" t="s">
        <v>911</v>
      </c>
    </row>
    <row r="11" spans="1:8" x14ac:dyDescent="0.3">
      <c r="A11" s="84" t="s">
        <v>912</v>
      </c>
    </row>
    <row r="13" spans="1:8" x14ac:dyDescent="0.3">
      <c r="A13" s="138" t="s">
        <v>913</v>
      </c>
      <c r="B13" s="138"/>
      <c r="C13" s="138"/>
      <c r="D13" s="138"/>
      <c r="E13" s="138"/>
    </row>
    <row r="14" spans="1:8" x14ac:dyDescent="0.3">
      <c r="A14" t="s">
        <v>914</v>
      </c>
    </row>
    <row r="16" spans="1:8" x14ac:dyDescent="0.3">
      <c r="A16" s="87" t="s">
        <v>551</v>
      </c>
      <c r="B16" s="87" t="s">
        <v>915</v>
      </c>
      <c r="C16" s="87" t="s">
        <v>149</v>
      </c>
      <c r="D16" s="87" t="s">
        <v>916</v>
      </c>
    </row>
    <row r="17" spans="1:5" x14ac:dyDescent="0.3">
      <c r="A17" s="17" t="s">
        <v>61</v>
      </c>
      <c r="B17" s="17">
        <v>10</v>
      </c>
      <c r="C17" s="17">
        <v>2</v>
      </c>
      <c r="D17" s="17"/>
      <c r="E17" s="86" t="s">
        <v>960</v>
      </c>
    </row>
    <row r="18" spans="1:5" x14ac:dyDescent="0.3">
      <c r="A18" s="17" t="s">
        <v>65</v>
      </c>
      <c r="B18" s="17">
        <v>15</v>
      </c>
      <c r="C18" s="17">
        <v>1.5</v>
      </c>
      <c r="D18" s="17"/>
      <c r="E18" s="86" t="s">
        <v>961</v>
      </c>
    </row>
    <row r="19" spans="1:5" x14ac:dyDescent="0.3">
      <c r="A19" s="17" t="s">
        <v>63</v>
      </c>
      <c r="B19" s="17">
        <v>8</v>
      </c>
      <c r="C19" s="17">
        <v>3</v>
      </c>
      <c r="D19" s="17"/>
      <c r="E19" s="86" t="s">
        <v>962</v>
      </c>
    </row>
    <row r="21" spans="1:5" x14ac:dyDescent="0.3">
      <c r="A21" s="139" t="s">
        <v>917</v>
      </c>
      <c r="B21" s="139"/>
      <c r="C21" s="139"/>
      <c r="D21" s="139"/>
      <c r="E21" s="139"/>
    </row>
    <row r="22" spans="1:5" x14ac:dyDescent="0.3">
      <c r="A22" t="s">
        <v>918</v>
      </c>
    </row>
    <row r="24" spans="1:5" x14ac:dyDescent="0.3">
      <c r="A24" s="1" t="s">
        <v>919</v>
      </c>
      <c r="B24" s="88">
        <v>0.1</v>
      </c>
    </row>
    <row r="26" spans="1:5" x14ac:dyDescent="0.3">
      <c r="A26" s="87" t="s">
        <v>57</v>
      </c>
      <c r="B26" s="87" t="s">
        <v>149</v>
      </c>
      <c r="C26" s="87" t="s">
        <v>920</v>
      </c>
    </row>
    <row r="27" spans="1:5" x14ac:dyDescent="0.3">
      <c r="A27" s="17" t="s">
        <v>152</v>
      </c>
      <c r="B27" s="89">
        <v>1000</v>
      </c>
      <c r="C27" s="90"/>
      <c r="D27" s="86"/>
    </row>
    <row r="28" spans="1:5" x14ac:dyDescent="0.3">
      <c r="A28" s="17" t="s">
        <v>921</v>
      </c>
      <c r="B28" s="89">
        <v>500</v>
      </c>
      <c r="C28" s="90"/>
      <c r="D28" s="86"/>
    </row>
    <row r="29" spans="1:5" x14ac:dyDescent="0.3">
      <c r="A29" s="17" t="s">
        <v>367</v>
      </c>
      <c r="B29" s="89">
        <v>750</v>
      </c>
      <c r="C29" s="90"/>
      <c r="D29" s="86"/>
    </row>
    <row r="31" spans="1:5" x14ac:dyDescent="0.3">
      <c r="A31" s="140" t="s">
        <v>922</v>
      </c>
      <c r="B31" s="140"/>
      <c r="C31" s="140"/>
      <c r="D31" s="140"/>
      <c r="E31" s="140"/>
    </row>
    <row r="32" spans="1:5" x14ac:dyDescent="0.3">
      <c r="A32" t="s">
        <v>923</v>
      </c>
    </row>
    <row r="34" spans="1:6" x14ac:dyDescent="0.3">
      <c r="A34" s="1" t="s">
        <v>924</v>
      </c>
      <c r="B34" s="91">
        <v>2</v>
      </c>
      <c r="C34" s="91">
        <v>3</v>
      </c>
      <c r="D34" s="91">
        <v>4</v>
      </c>
    </row>
    <row r="36" spans="1:6" x14ac:dyDescent="0.3">
      <c r="A36" s="87" t="s">
        <v>925</v>
      </c>
      <c r="B36" s="87" t="s">
        <v>926</v>
      </c>
      <c r="C36" s="87" t="s">
        <v>927</v>
      </c>
      <c r="D36" s="87" t="s">
        <v>928</v>
      </c>
    </row>
    <row r="37" spans="1:6" x14ac:dyDescent="0.3">
      <c r="A37" s="17">
        <v>5</v>
      </c>
      <c r="B37" s="17"/>
      <c r="C37" s="17"/>
      <c r="D37" s="17"/>
      <c r="E37" s="86"/>
    </row>
    <row r="38" spans="1:6" x14ac:dyDescent="0.3">
      <c r="A38" s="17">
        <v>10</v>
      </c>
      <c r="B38" s="17"/>
      <c r="C38" s="17"/>
      <c r="D38" s="17"/>
    </row>
    <row r="39" spans="1:6" x14ac:dyDescent="0.3">
      <c r="A39" s="17">
        <v>15</v>
      </c>
      <c r="B39" s="17"/>
      <c r="C39" s="17"/>
      <c r="D39" s="17"/>
    </row>
    <row r="41" spans="1:6" x14ac:dyDescent="0.3">
      <c r="A41" s="141" t="s">
        <v>929</v>
      </c>
      <c r="B41" s="141"/>
      <c r="C41" s="141"/>
      <c r="D41" s="141"/>
      <c r="E41" s="141"/>
    </row>
    <row r="42" spans="1:6" x14ac:dyDescent="0.3">
      <c r="A42" t="s">
        <v>930</v>
      </c>
    </row>
    <row r="44" spans="1:6" x14ac:dyDescent="0.3">
      <c r="A44" s="85" t="s">
        <v>931</v>
      </c>
      <c r="B44" s="87" t="s">
        <v>915</v>
      </c>
      <c r="C44" s="87" t="s">
        <v>932</v>
      </c>
      <c r="D44" s="87" t="s">
        <v>933</v>
      </c>
      <c r="E44" s="87" t="s">
        <v>934</v>
      </c>
    </row>
    <row r="45" spans="1:6" x14ac:dyDescent="0.3">
      <c r="B45" s="92" t="s">
        <v>935</v>
      </c>
      <c r="C45" s="93">
        <v>5</v>
      </c>
      <c r="D45" s="93">
        <v>8</v>
      </c>
      <c r="E45" s="93">
        <v>12</v>
      </c>
    </row>
    <row r="46" spans="1:6" x14ac:dyDescent="0.3">
      <c r="B46" s="17">
        <v>2</v>
      </c>
      <c r="C46" s="17"/>
      <c r="D46" s="17"/>
      <c r="E46" s="17"/>
      <c r="F46" s="86"/>
    </row>
    <row r="47" spans="1:6" x14ac:dyDescent="0.3">
      <c r="B47" s="17">
        <v>5</v>
      </c>
      <c r="C47" s="17"/>
      <c r="D47" s="17"/>
      <c r="E47" s="17"/>
    </row>
    <row r="48" spans="1:6" x14ac:dyDescent="0.3">
      <c r="B48" s="17">
        <v>10</v>
      </c>
      <c r="C48" s="17"/>
      <c r="D48" s="17"/>
      <c r="E48" s="17"/>
    </row>
    <row r="50" spans="1:6" ht="15.6" x14ac:dyDescent="0.3">
      <c r="A50" s="134" t="s">
        <v>936</v>
      </c>
      <c r="B50" s="134"/>
      <c r="C50" s="134"/>
      <c r="D50" s="134"/>
      <c r="E50" s="134"/>
      <c r="F50" s="134"/>
    </row>
    <row r="51" spans="1:6" x14ac:dyDescent="0.3">
      <c r="A51" t="s">
        <v>937</v>
      </c>
    </row>
    <row r="53" spans="1:6" x14ac:dyDescent="0.3">
      <c r="A53" s="17"/>
      <c r="B53" s="94">
        <v>1</v>
      </c>
      <c r="C53" s="94">
        <v>2</v>
      </c>
      <c r="D53" s="94">
        <v>3</v>
      </c>
      <c r="E53" s="94">
        <v>4</v>
      </c>
      <c r="F53" s="94">
        <v>5</v>
      </c>
    </row>
    <row r="54" spans="1:6" x14ac:dyDescent="0.3">
      <c r="A54" s="94">
        <v>1</v>
      </c>
      <c r="B54" s="17">
        <f t="shared" ref="B54:F58" si="0">$A54*B$53</f>
        <v>1</v>
      </c>
      <c r="C54" s="17">
        <f t="shared" si="0"/>
        <v>2</v>
      </c>
      <c r="D54" s="17">
        <f t="shared" si="0"/>
        <v>3</v>
      </c>
      <c r="E54" s="17">
        <f t="shared" si="0"/>
        <v>4</v>
      </c>
      <c r="F54" s="17">
        <f t="shared" si="0"/>
        <v>5</v>
      </c>
    </row>
    <row r="55" spans="1:6" x14ac:dyDescent="0.3">
      <c r="A55" s="94">
        <v>2</v>
      </c>
      <c r="B55" s="17">
        <f t="shared" si="0"/>
        <v>2</v>
      </c>
      <c r="C55" s="17">
        <f t="shared" si="0"/>
        <v>4</v>
      </c>
      <c r="D55" s="17">
        <f t="shared" si="0"/>
        <v>6</v>
      </c>
      <c r="E55" s="17">
        <f t="shared" si="0"/>
        <v>8</v>
      </c>
      <c r="F55" s="17">
        <f t="shared" si="0"/>
        <v>10</v>
      </c>
    </row>
    <row r="56" spans="1:6" x14ac:dyDescent="0.3">
      <c r="A56" s="94">
        <v>3</v>
      </c>
      <c r="B56" s="17">
        <f t="shared" si="0"/>
        <v>3</v>
      </c>
      <c r="C56" s="17">
        <f t="shared" si="0"/>
        <v>6</v>
      </c>
      <c r="D56" s="17">
        <f t="shared" si="0"/>
        <v>9</v>
      </c>
      <c r="E56" s="17">
        <f t="shared" si="0"/>
        <v>12</v>
      </c>
      <c r="F56" s="17">
        <f t="shared" si="0"/>
        <v>15</v>
      </c>
    </row>
    <row r="57" spans="1:6" x14ac:dyDescent="0.3">
      <c r="A57" s="94">
        <v>4</v>
      </c>
      <c r="B57" s="17">
        <f t="shared" si="0"/>
        <v>4</v>
      </c>
      <c r="C57" s="17">
        <f t="shared" si="0"/>
        <v>8</v>
      </c>
      <c r="D57" s="17">
        <f t="shared" si="0"/>
        <v>12</v>
      </c>
      <c r="E57" s="17">
        <f t="shared" si="0"/>
        <v>16</v>
      </c>
      <c r="F57" s="17">
        <f t="shared" si="0"/>
        <v>20</v>
      </c>
    </row>
    <row r="58" spans="1:6" x14ac:dyDescent="0.3">
      <c r="A58" s="94">
        <v>5</v>
      </c>
      <c r="B58" s="17">
        <f t="shared" si="0"/>
        <v>5</v>
      </c>
      <c r="C58" s="17">
        <f t="shared" si="0"/>
        <v>10</v>
      </c>
      <c r="D58" s="17">
        <f t="shared" si="0"/>
        <v>15</v>
      </c>
      <c r="E58" s="17">
        <f t="shared" si="0"/>
        <v>20</v>
      </c>
      <c r="F58" s="17">
        <f t="shared" si="0"/>
        <v>25</v>
      </c>
    </row>
    <row r="63" spans="1:6" ht="15.6" x14ac:dyDescent="0.3">
      <c r="A63" s="135" t="s">
        <v>938</v>
      </c>
      <c r="B63" s="135"/>
      <c r="C63" s="135"/>
      <c r="D63" s="135"/>
      <c r="E63" s="135"/>
    </row>
    <row r="65" spans="1:5" x14ac:dyDescent="0.3">
      <c r="A65" s="95" t="s">
        <v>241</v>
      </c>
      <c r="B65" s="95" t="s">
        <v>939</v>
      </c>
      <c r="C65" s="95" t="s">
        <v>940</v>
      </c>
      <c r="D65" s="95" t="s">
        <v>941</v>
      </c>
      <c r="E65" s="95" t="s">
        <v>942</v>
      </c>
    </row>
    <row r="66" spans="1:5" x14ac:dyDescent="0.3">
      <c r="A66" s="83" t="s">
        <v>943</v>
      </c>
      <c r="B66" s="83" t="s">
        <v>894</v>
      </c>
      <c r="C66" s="83" t="s">
        <v>944</v>
      </c>
      <c r="D66" s="83" t="s">
        <v>945</v>
      </c>
      <c r="E66" s="83" t="s">
        <v>946</v>
      </c>
    </row>
    <row r="67" spans="1:5" x14ac:dyDescent="0.3">
      <c r="A67" s="17" t="s">
        <v>947</v>
      </c>
      <c r="B67" s="17" t="s">
        <v>899</v>
      </c>
      <c r="C67" s="17" t="s">
        <v>948</v>
      </c>
      <c r="D67" s="17" t="s">
        <v>948</v>
      </c>
      <c r="E67" s="17" t="s">
        <v>949</v>
      </c>
    </row>
    <row r="68" spans="1:5" x14ac:dyDescent="0.3">
      <c r="A68" s="83" t="s">
        <v>950</v>
      </c>
      <c r="B68" s="83" t="s">
        <v>904</v>
      </c>
      <c r="C68" s="83" t="s">
        <v>951</v>
      </c>
      <c r="D68" s="83" t="s">
        <v>952</v>
      </c>
      <c r="E68" s="83" t="s">
        <v>953</v>
      </c>
    </row>
    <row r="69" spans="1:5" x14ac:dyDescent="0.3">
      <c r="A69" s="17" t="s">
        <v>954</v>
      </c>
      <c r="B69" s="17" t="s">
        <v>909</v>
      </c>
      <c r="C69" s="17" t="s">
        <v>955</v>
      </c>
      <c r="D69" s="17" t="s">
        <v>956</v>
      </c>
      <c r="E69" s="17" t="s">
        <v>957</v>
      </c>
    </row>
    <row r="71" spans="1:5" x14ac:dyDescent="0.3">
      <c r="A71" s="96" t="s">
        <v>958</v>
      </c>
    </row>
    <row r="72" spans="1:5" x14ac:dyDescent="0.3">
      <c r="A72" s="23" t="s">
        <v>959</v>
      </c>
    </row>
  </sheetData>
  <mergeCells count="8">
    <mergeCell ref="A50:F50"/>
    <mergeCell ref="A63:E63"/>
    <mergeCell ref="A2:H2"/>
    <mergeCell ref="A3:H3"/>
    <mergeCell ref="A13:E13"/>
    <mergeCell ref="A21:E21"/>
    <mergeCell ref="A31:E31"/>
    <mergeCell ref="A41:E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55C4-49E2-4B0A-AB3E-F704C65E085F}">
  <sheetPr codeName="Sheet2"/>
  <dimension ref="A1:L90"/>
  <sheetViews>
    <sheetView topLeftCell="A41" zoomScale="81" zoomScaleNormal="70" workbookViewId="0">
      <selection activeCell="G34" sqref="G34"/>
    </sheetView>
  </sheetViews>
  <sheetFormatPr defaultRowHeight="14.4" x14ac:dyDescent="0.3"/>
  <cols>
    <col min="1" max="2" width="33.33203125" customWidth="1"/>
    <col min="3" max="3" width="40.77734375" customWidth="1"/>
    <col min="4" max="4" width="14.77734375" customWidth="1"/>
    <col min="6" max="6" width="29.6640625" customWidth="1"/>
    <col min="7" max="7" width="33.33203125" customWidth="1"/>
    <col min="8" max="8" width="18.5546875" customWidth="1"/>
    <col min="11" max="11" width="16.33203125" customWidth="1"/>
  </cols>
  <sheetData>
    <row r="1" spans="1:12" ht="34.950000000000003" customHeight="1" x14ac:dyDescent="0.4">
      <c r="A1" s="142" t="s">
        <v>34</v>
      </c>
      <c r="B1" s="128"/>
      <c r="C1" s="128"/>
      <c r="D1" s="128"/>
      <c r="E1" s="128"/>
      <c r="F1" s="128"/>
    </row>
    <row r="3" spans="1:12" ht="15.6" x14ac:dyDescent="0.3">
      <c r="A3" s="131" t="s">
        <v>35</v>
      </c>
      <c r="B3" s="128"/>
      <c r="C3" s="128"/>
      <c r="D3" s="128"/>
      <c r="E3" s="128"/>
      <c r="F3" s="128"/>
    </row>
    <row r="5" spans="1:12" x14ac:dyDescent="0.3">
      <c r="A5" s="3" t="s">
        <v>36</v>
      </c>
      <c r="B5" s="3" t="s">
        <v>37</v>
      </c>
      <c r="C5" s="3" t="s">
        <v>6</v>
      </c>
    </row>
    <row r="6" spans="1:12" x14ac:dyDescent="0.3">
      <c r="A6" t="s">
        <v>38</v>
      </c>
      <c r="B6" t="s">
        <v>41</v>
      </c>
      <c r="C6" t="s">
        <v>39</v>
      </c>
    </row>
    <row r="7" spans="1:12" x14ac:dyDescent="0.3">
      <c r="A7" t="s">
        <v>40</v>
      </c>
      <c r="B7" t="s">
        <v>42</v>
      </c>
      <c r="C7" t="s">
        <v>43</v>
      </c>
    </row>
    <row r="8" spans="1:12" x14ac:dyDescent="0.3">
      <c r="A8" t="s">
        <v>44</v>
      </c>
      <c r="B8" t="s">
        <v>45</v>
      </c>
      <c r="C8" t="s">
        <v>46</v>
      </c>
    </row>
    <row r="9" spans="1:12" x14ac:dyDescent="0.3">
      <c r="A9" t="s">
        <v>47</v>
      </c>
      <c r="B9" t="s">
        <v>48</v>
      </c>
      <c r="C9" t="s">
        <v>49</v>
      </c>
    </row>
    <row r="10" spans="1:12" x14ac:dyDescent="0.3">
      <c r="A10" t="s">
        <v>50</v>
      </c>
      <c r="B10" t="s">
        <v>51</v>
      </c>
      <c r="C10" t="s">
        <v>52</v>
      </c>
    </row>
    <row r="11" spans="1:12" x14ac:dyDescent="0.3">
      <c r="A11" t="s">
        <v>53</v>
      </c>
      <c r="B11" t="s">
        <v>54</v>
      </c>
      <c r="C11" t="s">
        <v>55</v>
      </c>
    </row>
    <row r="13" spans="1:12" x14ac:dyDescent="0.3">
      <c r="A13" s="1" t="s">
        <v>56</v>
      </c>
      <c r="F13" s="1" t="s">
        <v>66</v>
      </c>
    </row>
    <row r="14" spans="1:12" x14ac:dyDescent="0.3">
      <c r="A14" s="5" t="s">
        <v>57</v>
      </c>
      <c r="B14" s="5" t="s">
        <v>58</v>
      </c>
      <c r="C14" s="5" t="s">
        <v>59</v>
      </c>
      <c r="D14" s="5" t="s">
        <v>60</v>
      </c>
      <c r="F14" s="6" t="s">
        <v>6</v>
      </c>
      <c r="G14" s="6" t="s">
        <v>67</v>
      </c>
      <c r="H14" s="6" t="s">
        <v>74</v>
      </c>
      <c r="K14" s="6" t="s">
        <v>555</v>
      </c>
      <c r="L14" s="6" t="s">
        <v>59</v>
      </c>
    </row>
    <row r="15" spans="1:12" x14ac:dyDescent="0.3">
      <c r="A15" t="s">
        <v>61</v>
      </c>
      <c r="B15" t="s">
        <v>62</v>
      </c>
      <c r="C15">
        <v>150</v>
      </c>
      <c r="D15">
        <v>60</v>
      </c>
      <c r="F15" t="s">
        <v>68</v>
      </c>
      <c r="K15" t="s">
        <v>556</v>
      </c>
      <c r="L15">
        <v>10</v>
      </c>
    </row>
    <row r="16" spans="1:12" x14ac:dyDescent="0.3">
      <c r="A16" t="s">
        <v>63</v>
      </c>
      <c r="B16" t="s">
        <v>64</v>
      </c>
      <c r="C16">
        <v>200</v>
      </c>
      <c r="D16">
        <v>45</v>
      </c>
      <c r="F16" t="s">
        <v>69</v>
      </c>
      <c r="K16" t="s">
        <v>557</v>
      </c>
      <c r="L16">
        <v>10</v>
      </c>
    </row>
    <row r="17" spans="1:12" x14ac:dyDescent="0.3">
      <c r="A17" t="s">
        <v>61</v>
      </c>
      <c r="B17" t="s">
        <v>64</v>
      </c>
      <c r="C17">
        <v>180</v>
      </c>
      <c r="D17">
        <v>70</v>
      </c>
      <c r="F17" t="s">
        <v>70</v>
      </c>
      <c r="K17" t="s">
        <v>558</v>
      </c>
      <c r="L17">
        <v>10</v>
      </c>
    </row>
    <row r="18" spans="1:12" x14ac:dyDescent="0.3">
      <c r="A18" t="s">
        <v>65</v>
      </c>
      <c r="B18" t="s">
        <v>62</v>
      </c>
      <c r="C18">
        <v>120</v>
      </c>
      <c r="D18">
        <v>30</v>
      </c>
      <c r="F18" t="s">
        <v>71</v>
      </c>
      <c r="K18" t="s">
        <v>559</v>
      </c>
      <c r="L18">
        <v>10</v>
      </c>
    </row>
    <row r="19" spans="1:12" x14ac:dyDescent="0.3">
      <c r="A19" t="s">
        <v>61</v>
      </c>
      <c r="B19" t="s">
        <v>62</v>
      </c>
      <c r="C19">
        <v>90</v>
      </c>
      <c r="D19">
        <v>55</v>
      </c>
      <c r="F19" t="s">
        <v>72</v>
      </c>
    </row>
    <row r="20" spans="1:12" x14ac:dyDescent="0.3">
      <c r="A20" t="s">
        <v>63</v>
      </c>
      <c r="B20" t="s">
        <v>62</v>
      </c>
      <c r="C20">
        <v>160</v>
      </c>
      <c r="D20">
        <v>40</v>
      </c>
      <c r="F20" t="s">
        <v>73</v>
      </c>
    </row>
    <row r="21" spans="1:12" x14ac:dyDescent="0.3">
      <c r="A21" t="s">
        <v>65</v>
      </c>
      <c r="B21" t="s">
        <v>64</v>
      </c>
      <c r="C21">
        <v>140</v>
      </c>
      <c r="D21">
        <v>35</v>
      </c>
    </row>
    <row r="23" spans="1:12" ht="15.6" x14ac:dyDescent="0.3">
      <c r="A23" s="131" t="s">
        <v>75</v>
      </c>
      <c r="B23" s="128"/>
      <c r="C23" s="128"/>
      <c r="D23" s="128"/>
      <c r="E23" s="128"/>
      <c r="F23" s="128"/>
    </row>
    <row r="25" spans="1:12" x14ac:dyDescent="0.3">
      <c r="A25" s="1" t="s">
        <v>76</v>
      </c>
    </row>
    <row r="26" spans="1:12" x14ac:dyDescent="0.3">
      <c r="A26" t="s">
        <v>77</v>
      </c>
    </row>
    <row r="27" spans="1:12" x14ac:dyDescent="0.3">
      <c r="A27" t="s">
        <v>78</v>
      </c>
    </row>
    <row r="28" spans="1:12" x14ac:dyDescent="0.3">
      <c r="A28" t="s">
        <v>79</v>
      </c>
    </row>
    <row r="29" spans="1:12" x14ac:dyDescent="0.3">
      <c r="A29" t="s">
        <v>80</v>
      </c>
    </row>
    <row r="31" spans="1:12" x14ac:dyDescent="0.3">
      <c r="A31" t="s">
        <v>81</v>
      </c>
      <c r="G31" t="s">
        <v>94</v>
      </c>
    </row>
    <row r="33" spans="1:8" x14ac:dyDescent="0.3">
      <c r="A33" s="5" t="s">
        <v>82</v>
      </c>
      <c r="B33" s="5" t="s">
        <v>83</v>
      </c>
      <c r="C33" s="5" t="s">
        <v>84</v>
      </c>
      <c r="D33" s="5" t="s">
        <v>85</v>
      </c>
      <c r="F33" s="1" t="s">
        <v>100</v>
      </c>
    </row>
    <row r="34" spans="1:8" x14ac:dyDescent="0.3">
      <c r="A34" t="s">
        <v>86</v>
      </c>
      <c r="B34" t="s">
        <v>87</v>
      </c>
      <c r="C34" t="s">
        <v>59</v>
      </c>
      <c r="D34">
        <v>55000</v>
      </c>
      <c r="F34" t="s">
        <v>101</v>
      </c>
      <c r="H34" t="str">
        <f>INDEX(B34:B38,MATCH("E003",A34:A38,0))</f>
        <v>Bob Wilson</v>
      </c>
    </row>
    <row r="35" spans="1:8" x14ac:dyDescent="0.3">
      <c r="A35" t="s">
        <v>88</v>
      </c>
      <c r="B35" t="s">
        <v>89</v>
      </c>
      <c r="C35" t="s">
        <v>90</v>
      </c>
      <c r="D35">
        <v>62000</v>
      </c>
      <c r="F35" t="s">
        <v>102</v>
      </c>
      <c r="H35">
        <f>INDEX(D34:D38,MATCH("Jane Doe",B34:B38,0))</f>
        <v>62000</v>
      </c>
    </row>
    <row r="36" spans="1:8" x14ac:dyDescent="0.3">
      <c r="A36" t="s">
        <v>91</v>
      </c>
      <c r="B36" t="s">
        <v>92</v>
      </c>
      <c r="C36" t="s">
        <v>93</v>
      </c>
      <c r="D36">
        <v>75000</v>
      </c>
      <c r="F36" t="s">
        <v>103</v>
      </c>
      <c r="H36" t="str">
        <f>INDEX(C34:C38,MATCH("E004",A34:A38,0))</f>
        <v>HR</v>
      </c>
    </row>
    <row r="37" spans="1:8" x14ac:dyDescent="0.3">
      <c r="A37" t="s">
        <v>94</v>
      </c>
      <c r="B37" t="s">
        <v>95</v>
      </c>
      <c r="C37" t="s">
        <v>96</v>
      </c>
      <c r="D37">
        <v>58000</v>
      </c>
      <c r="F37" t="s">
        <v>104</v>
      </c>
      <c r="H37" t="str">
        <f>INDEX(A34:A38,MATCH("IT",C34:C38,0))</f>
        <v>E003</v>
      </c>
    </row>
    <row r="38" spans="1:8" x14ac:dyDescent="0.3">
      <c r="A38" t="s">
        <v>97</v>
      </c>
      <c r="B38" t="s">
        <v>98</v>
      </c>
      <c r="C38" t="s">
        <v>99</v>
      </c>
      <c r="D38">
        <v>68000</v>
      </c>
    </row>
    <row r="40" spans="1:8" ht="15.6" x14ac:dyDescent="0.3">
      <c r="A40" s="131" t="s">
        <v>105</v>
      </c>
      <c r="B40" s="128"/>
      <c r="C40" s="128"/>
      <c r="D40" s="128"/>
      <c r="E40" s="128"/>
      <c r="F40" s="128"/>
    </row>
    <row r="42" spans="1:8" x14ac:dyDescent="0.3">
      <c r="A42" s="3" t="s">
        <v>36</v>
      </c>
      <c r="B42" s="3" t="s">
        <v>6</v>
      </c>
      <c r="C42" s="3" t="s">
        <v>106</v>
      </c>
      <c r="D42" s="3" t="s">
        <v>74</v>
      </c>
    </row>
    <row r="43" spans="1:8" x14ac:dyDescent="0.3">
      <c r="A43" t="s">
        <v>107</v>
      </c>
      <c r="B43" t="s">
        <v>108</v>
      </c>
      <c r="C43" t="s">
        <v>87</v>
      </c>
    </row>
    <row r="44" spans="1:8" x14ac:dyDescent="0.3">
      <c r="A44" t="s">
        <v>109</v>
      </c>
      <c r="B44" t="s">
        <v>110</v>
      </c>
      <c r="C44" t="s">
        <v>87</v>
      </c>
    </row>
    <row r="45" spans="1:8" x14ac:dyDescent="0.3">
      <c r="A45" t="s">
        <v>111</v>
      </c>
      <c r="B45" t="s">
        <v>112</v>
      </c>
      <c r="C45" t="s">
        <v>87</v>
      </c>
    </row>
    <row r="46" spans="1:8" x14ac:dyDescent="0.3">
      <c r="A46" t="s">
        <v>113</v>
      </c>
      <c r="B46" t="s">
        <v>114</v>
      </c>
      <c r="C46" t="s">
        <v>115</v>
      </c>
    </row>
    <row r="47" spans="1:8" x14ac:dyDescent="0.3">
      <c r="A47" t="s">
        <v>116</v>
      </c>
      <c r="B47" t="s">
        <v>117</v>
      </c>
      <c r="C47" t="s">
        <v>118</v>
      </c>
    </row>
    <row r="48" spans="1:8" x14ac:dyDescent="0.3">
      <c r="A48" t="s">
        <v>119</v>
      </c>
      <c r="B48" t="s">
        <v>120</v>
      </c>
      <c r="C48" t="s">
        <v>121</v>
      </c>
    </row>
    <row r="49" spans="1:6" x14ac:dyDescent="0.3">
      <c r="A49" t="s">
        <v>122</v>
      </c>
      <c r="B49" t="s">
        <v>123</v>
      </c>
      <c r="C49" t="s">
        <v>124</v>
      </c>
    </row>
    <row r="50" spans="1:6" x14ac:dyDescent="0.3">
      <c r="A50" t="s">
        <v>125</v>
      </c>
      <c r="B50" t="s">
        <v>126</v>
      </c>
      <c r="C50" t="s">
        <v>127</v>
      </c>
    </row>
    <row r="51" spans="1:6" x14ac:dyDescent="0.3">
      <c r="A51" t="s">
        <v>128</v>
      </c>
      <c r="B51" t="s">
        <v>129</v>
      </c>
      <c r="C51" t="s">
        <v>130</v>
      </c>
    </row>
    <row r="52" spans="1:6" x14ac:dyDescent="0.3">
      <c r="A52" t="s">
        <v>131</v>
      </c>
      <c r="B52" t="s">
        <v>132</v>
      </c>
      <c r="C52" t="s">
        <v>133</v>
      </c>
    </row>
    <row r="53" spans="1:6" x14ac:dyDescent="0.3">
      <c r="A53" t="s">
        <v>134</v>
      </c>
      <c r="B53" t="s">
        <v>135</v>
      </c>
      <c r="C53" t="s">
        <v>136</v>
      </c>
    </row>
    <row r="55" spans="1:6" ht="15.6" x14ac:dyDescent="0.3">
      <c r="A55" s="143" t="s">
        <v>1118</v>
      </c>
      <c r="B55" s="128"/>
      <c r="C55" s="128"/>
      <c r="D55" s="128"/>
      <c r="E55" s="128"/>
      <c r="F55" s="128"/>
    </row>
    <row r="57" spans="1:6" x14ac:dyDescent="0.3">
      <c r="A57" s="72" t="s">
        <v>36</v>
      </c>
      <c r="B57" s="112" t="s">
        <v>37</v>
      </c>
      <c r="C57" s="72" t="s">
        <v>6</v>
      </c>
    </row>
    <row r="58" spans="1:6" x14ac:dyDescent="0.3">
      <c r="A58" t="s">
        <v>1119</v>
      </c>
      <c r="B58" t="s">
        <v>1119</v>
      </c>
      <c r="C58" t="s">
        <v>1120</v>
      </c>
    </row>
    <row r="59" spans="1:6" x14ac:dyDescent="0.3">
      <c r="A59" t="s">
        <v>1121</v>
      </c>
      <c r="B59" t="s">
        <v>1121</v>
      </c>
      <c r="C59" t="s">
        <v>1122</v>
      </c>
    </row>
    <row r="60" spans="1:6" x14ac:dyDescent="0.3">
      <c r="A60" t="s">
        <v>1123</v>
      </c>
      <c r="B60" t="s">
        <v>1124</v>
      </c>
      <c r="C60" t="s">
        <v>1125</v>
      </c>
    </row>
    <row r="61" spans="1:6" x14ac:dyDescent="0.3">
      <c r="A61" t="s">
        <v>1126</v>
      </c>
      <c r="B61" t="s">
        <v>1127</v>
      </c>
      <c r="C61" t="s">
        <v>1128</v>
      </c>
    </row>
    <row r="62" spans="1:6" x14ac:dyDescent="0.3">
      <c r="A62" t="s">
        <v>1129</v>
      </c>
      <c r="B62" t="s">
        <v>1130</v>
      </c>
      <c r="C62" t="s">
        <v>1131</v>
      </c>
    </row>
    <row r="63" spans="1:6" x14ac:dyDescent="0.3">
      <c r="A63" t="s">
        <v>1132</v>
      </c>
      <c r="B63" t="s">
        <v>1133</v>
      </c>
      <c r="C63" t="s">
        <v>1134</v>
      </c>
    </row>
    <row r="64" spans="1:6" x14ac:dyDescent="0.3">
      <c r="A64" t="s">
        <v>1135</v>
      </c>
      <c r="B64" t="s">
        <v>1136</v>
      </c>
      <c r="C64" t="s">
        <v>1137</v>
      </c>
    </row>
    <row r="65" spans="1:7" x14ac:dyDescent="0.3">
      <c r="A65" t="s">
        <v>1138</v>
      </c>
      <c r="B65" t="s">
        <v>1139</v>
      </c>
      <c r="C65" t="s">
        <v>1140</v>
      </c>
    </row>
    <row r="66" spans="1:7" x14ac:dyDescent="0.3">
      <c r="A66" t="s">
        <v>1141</v>
      </c>
      <c r="B66" t="s">
        <v>1142</v>
      </c>
      <c r="C66" t="s">
        <v>1143</v>
      </c>
    </row>
    <row r="67" spans="1:7" x14ac:dyDescent="0.3">
      <c r="A67" t="s">
        <v>1144</v>
      </c>
      <c r="B67" t="s">
        <v>1145</v>
      </c>
      <c r="C67" t="s">
        <v>1146</v>
      </c>
    </row>
    <row r="68" spans="1:7" x14ac:dyDescent="0.3">
      <c r="A68" t="s">
        <v>1147</v>
      </c>
      <c r="B68" t="s">
        <v>1148</v>
      </c>
      <c r="C68" t="s">
        <v>1149</v>
      </c>
    </row>
    <row r="70" spans="1:7" x14ac:dyDescent="0.3">
      <c r="A70" s="1" t="s">
        <v>56</v>
      </c>
      <c r="F70" s="1" t="s">
        <v>66</v>
      </c>
    </row>
    <row r="71" spans="1:7" x14ac:dyDescent="0.3">
      <c r="A71" s="6" t="s">
        <v>1150</v>
      </c>
      <c r="B71" s="6" t="s">
        <v>252</v>
      </c>
      <c r="C71" s="6"/>
      <c r="D71" s="6"/>
      <c r="F71" s="5" t="s">
        <v>6</v>
      </c>
      <c r="G71" s="5" t="s">
        <v>67</v>
      </c>
    </row>
    <row r="72" spans="1:7" x14ac:dyDescent="0.3">
      <c r="A72" t="s">
        <v>1151</v>
      </c>
      <c r="B72" s="8">
        <v>45306</v>
      </c>
      <c r="F72" t="s">
        <v>1155</v>
      </c>
    </row>
    <row r="73" spans="1:7" x14ac:dyDescent="0.3">
      <c r="A73" t="s">
        <v>1152</v>
      </c>
      <c r="B73" s="8">
        <v>45473</v>
      </c>
      <c r="F73" t="s">
        <v>1156</v>
      </c>
    </row>
    <row r="74" spans="1:7" x14ac:dyDescent="0.3">
      <c r="A74" t="s">
        <v>1153</v>
      </c>
      <c r="B74" s="8">
        <v>43900</v>
      </c>
      <c r="F74" t="s">
        <v>1157</v>
      </c>
    </row>
    <row r="75" spans="1:7" x14ac:dyDescent="0.3">
      <c r="A75" t="s">
        <v>1154</v>
      </c>
      <c r="B75" s="8">
        <v>33076</v>
      </c>
      <c r="F75" t="s">
        <v>1158</v>
      </c>
    </row>
    <row r="76" spans="1:7" x14ac:dyDescent="0.3">
      <c r="F76" t="s">
        <v>1159</v>
      </c>
    </row>
    <row r="77" spans="1:7" x14ac:dyDescent="0.3">
      <c r="F77" t="s">
        <v>1160</v>
      </c>
    </row>
    <row r="78" spans="1:7" x14ac:dyDescent="0.3">
      <c r="F78" t="s">
        <v>1161</v>
      </c>
    </row>
    <row r="79" spans="1:7" x14ac:dyDescent="0.3">
      <c r="F79" t="s">
        <v>1162</v>
      </c>
    </row>
    <row r="80" spans="1:7" x14ac:dyDescent="0.3">
      <c r="F80" t="s">
        <v>1163</v>
      </c>
    </row>
    <row r="81" spans="1:6" x14ac:dyDescent="0.3">
      <c r="F81" t="s">
        <v>1164</v>
      </c>
    </row>
    <row r="82" spans="1:6" x14ac:dyDescent="0.3">
      <c r="F82" t="s">
        <v>1165</v>
      </c>
    </row>
    <row r="83" spans="1:6" x14ac:dyDescent="0.3">
      <c r="F83" t="s">
        <v>1166</v>
      </c>
    </row>
    <row r="85" spans="1:6" x14ac:dyDescent="0.3">
      <c r="A85" s="1" t="s">
        <v>1167</v>
      </c>
    </row>
    <row r="86" spans="1:6" x14ac:dyDescent="0.3">
      <c r="A86" t="s">
        <v>1168</v>
      </c>
    </row>
    <row r="87" spans="1:6" x14ac:dyDescent="0.3">
      <c r="A87" t="s">
        <v>1169</v>
      </c>
    </row>
    <row r="88" spans="1:6" x14ac:dyDescent="0.3">
      <c r="A88" t="s">
        <v>1170</v>
      </c>
    </row>
    <row r="89" spans="1:6" x14ac:dyDescent="0.3">
      <c r="A89" t="s">
        <v>1171</v>
      </c>
    </row>
    <row r="90" spans="1:6" x14ac:dyDescent="0.3">
      <c r="A90" t="s">
        <v>1172</v>
      </c>
    </row>
  </sheetData>
  <mergeCells count="5">
    <mergeCell ref="A1:F1"/>
    <mergeCell ref="A3:F3"/>
    <mergeCell ref="A23:F23"/>
    <mergeCell ref="A40:F40"/>
    <mergeCell ref="A55:F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D484-1FB6-42C7-86E9-1EA55126E229}">
  <sheetPr codeName="Sheet5"/>
  <dimension ref="A1:H270"/>
  <sheetViews>
    <sheetView topLeftCell="A255" zoomScale="85" zoomScaleNormal="85" workbookViewId="0">
      <selection activeCell="B252" sqref="B252:B254"/>
    </sheetView>
  </sheetViews>
  <sheetFormatPr defaultRowHeight="14.4" x14ac:dyDescent="0.3"/>
  <cols>
    <col min="1" max="1" width="14.77734375" customWidth="1"/>
    <col min="2" max="3" width="13" customWidth="1"/>
    <col min="4" max="4" width="29.6640625" customWidth="1"/>
    <col min="5" max="5" width="22.77734375" bestFit="1" customWidth="1"/>
    <col min="6" max="6" width="27.77734375" customWidth="1"/>
    <col min="7" max="7" width="33.33203125" customWidth="1"/>
    <col min="8" max="9" width="18.5546875" customWidth="1"/>
  </cols>
  <sheetData>
    <row r="1" spans="1:8" ht="34.950000000000003" customHeight="1" x14ac:dyDescent="0.4">
      <c r="A1" s="142" t="s">
        <v>137</v>
      </c>
      <c r="B1" s="128"/>
      <c r="C1" s="128"/>
      <c r="D1" s="128"/>
      <c r="E1" s="128"/>
      <c r="F1" s="128"/>
    </row>
    <row r="3" spans="1:8" ht="15.6" x14ac:dyDescent="0.3">
      <c r="A3" s="131" t="s">
        <v>138</v>
      </c>
      <c r="B3" s="128"/>
      <c r="C3" s="128"/>
      <c r="D3" s="128"/>
      <c r="E3" s="128"/>
      <c r="F3" s="128"/>
    </row>
    <row r="5" spans="1:8" x14ac:dyDescent="0.3">
      <c r="A5" s="1" t="s">
        <v>139</v>
      </c>
    </row>
    <row r="7" spans="1:8" x14ac:dyDescent="0.3">
      <c r="A7" s="1" t="s">
        <v>140</v>
      </c>
    </row>
    <row r="8" spans="1:8" x14ac:dyDescent="0.3">
      <c r="A8" t="s">
        <v>141</v>
      </c>
    </row>
    <row r="9" spans="1:8" x14ac:dyDescent="0.3">
      <c r="A9" t="s">
        <v>142</v>
      </c>
    </row>
    <row r="10" spans="1:8" x14ac:dyDescent="0.3">
      <c r="A10" t="s">
        <v>143</v>
      </c>
    </row>
    <row r="11" spans="1:8" x14ac:dyDescent="0.3">
      <c r="A11" t="s">
        <v>144</v>
      </c>
    </row>
    <row r="12" spans="1:8" x14ac:dyDescent="0.3">
      <c r="A12" t="s">
        <v>145</v>
      </c>
    </row>
    <row r="14" spans="1:8" x14ac:dyDescent="0.3">
      <c r="A14" s="5" t="s">
        <v>146</v>
      </c>
      <c r="B14" s="5" t="s">
        <v>147</v>
      </c>
      <c r="C14" s="5" t="s">
        <v>148</v>
      </c>
      <c r="D14" s="5" t="s">
        <v>149</v>
      </c>
      <c r="E14" s="5" t="s">
        <v>150</v>
      </c>
      <c r="G14" s="6" t="s">
        <v>163</v>
      </c>
    </row>
    <row r="15" spans="1:8" x14ac:dyDescent="0.3">
      <c r="A15" t="s">
        <v>151</v>
      </c>
      <c r="B15" t="s">
        <v>152</v>
      </c>
      <c r="C15" t="s">
        <v>153</v>
      </c>
      <c r="D15">
        <v>999.99</v>
      </c>
      <c r="E15">
        <v>45</v>
      </c>
      <c r="G15" t="s">
        <v>164</v>
      </c>
      <c r="H15" t="s">
        <v>156</v>
      </c>
    </row>
    <row r="16" spans="1:8" x14ac:dyDescent="0.3">
      <c r="A16" t="s">
        <v>154</v>
      </c>
      <c r="B16" t="s">
        <v>155</v>
      </c>
      <c r="C16" t="s">
        <v>153</v>
      </c>
      <c r="D16">
        <v>29.99</v>
      </c>
      <c r="E16">
        <v>150</v>
      </c>
      <c r="G16" t="s">
        <v>165</v>
      </c>
    </row>
    <row r="17" spans="1:7" x14ac:dyDescent="0.3">
      <c r="A17" t="s">
        <v>156</v>
      </c>
      <c r="B17" t="s">
        <v>157</v>
      </c>
      <c r="C17" t="s">
        <v>158</v>
      </c>
      <c r="D17">
        <v>249.99</v>
      </c>
      <c r="E17">
        <v>30</v>
      </c>
      <c r="G17" t="s">
        <v>166</v>
      </c>
    </row>
    <row r="18" spans="1:7" x14ac:dyDescent="0.3">
      <c r="A18" t="s">
        <v>159</v>
      </c>
      <c r="B18" t="s">
        <v>160</v>
      </c>
      <c r="C18" t="s">
        <v>153</v>
      </c>
      <c r="D18">
        <v>349.99</v>
      </c>
      <c r="E18">
        <v>60</v>
      </c>
      <c r="G18" t="s">
        <v>167</v>
      </c>
    </row>
    <row r="19" spans="1:7" x14ac:dyDescent="0.3">
      <c r="A19" t="s">
        <v>161</v>
      </c>
      <c r="B19" t="s">
        <v>162</v>
      </c>
      <c r="C19" t="s">
        <v>153</v>
      </c>
      <c r="D19">
        <v>79.989999999999995</v>
      </c>
      <c r="E19">
        <v>100</v>
      </c>
    </row>
    <row r="21" spans="1:7" ht="15.6" x14ac:dyDescent="0.3">
      <c r="A21" s="131" t="s">
        <v>168</v>
      </c>
      <c r="B21" s="128"/>
      <c r="C21" s="128"/>
      <c r="D21" s="128"/>
      <c r="E21" s="128"/>
      <c r="F21" s="128"/>
    </row>
    <row r="23" spans="1:7" x14ac:dyDescent="0.3">
      <c r="A23" t="s">
        <v>169</v>
      </c>
    </row>
    <row r="24" spans="1:7" x14ac:dyDescent="0.3">
      <c r="A24" t="s">
        <v>170</v>
      </c>
    </row>
    <row r="26" spans="1:7" x14ac:dyDescent="0.3">
      <c r="A26" s="3" t="s">
        <v>36</v>
      </c>
      <c r="B26" s="3" t="s">
        <v>6</v>
      </c>
      <c r="C26" s="3" t="s">
        <v>171</v>
      </c>
    </row>
    <row r="27" spans="1:7" x14ac:dyDescent="0.3">
      <c r="A27" t="s">
        <v>172</v>
      </c>
      <c r="B27" t="s">
        <v>173</v>
      </c>
      <c r="C27" t="s">
        <v>174</v>
      </c>
    </row>
    <row r="28" spans="1:7" x14ac:dyDescent="0.3">
      <c r="A28" t="s">
        <v>175</v>
      </c>
      <c r="B28" t="s">
        <v>176</v>
      </c>
      <c r="C28" t="s">
        <v>177</v>
      </c>
    </row>
    <row r="29" spans="1:7" x14ac:dyDescent="0.3">
      <c r="A29" t="s">
        <v>178</v>
      </c>
      <c r="B29" t="s">
        <v>179</v>
      </c>
      <c r="C29" t="s">
        <v>180</v>
      </c>
    </row>
    <row r="30" spans="1:7" x14ac:dyDescent="0.3">
      <c r="A30" t="s">
        <v>181</v>
      </c>
      <c r="B30" t="s">
        <v>182</v>
      </c>
      <c r="C30" t="s">
        <v>183</v>
      </c>
    </row>
    <row r="31" spans="1:7" x14ac:dyDescent="0.3">
      <c r="A31" t="s">
        <v>184</v>
      </c>
      <c r="B31" t="s">
        <v>185</v>
      </c>
      <c r="C31" t="s">
        <v>186</v>
      </c>
    </row>
    <row r="32" spans="1:7" x14ac:dyDescent="0.3">
      <c r="A32" t="s">
        <v>187</v>
      </c>
      <c r="B32" t="s">
        <v>188</v>
      </c>
      <c r="C32" t="s">
        <v>189</v>
      </c>
    </row>
    <row r="34" spans="1:6" x14ac:dyDescent="0.3">
      <c r="A34" s="5" t="s">
        <v>83</v>
      </c>
      <c r="B34" s="5" t="s">
        <v>84</v>
      </c>
      <c r="C34" s="5" t="s">
        <v>85</v>
      </c>
      <c r="D34" s="5" t="s">
        <v>190</v>
      </c>
      <c r="F34" s="6" t="s">
        <v>197</v>
      </c>
    </row>
    <row r="35" spans="1:6" x14ac:dyDescent="0.3">
      <c r="A35" t="s">
        <v>191</v>
      </c>
      <c r="B35" t="s">
        <v>59</v>
      </c>
      <c r="C35">
        <v>52000</v>
      </c>
      <c r="D35">
        <v>3</v>
      </c>
      <c r="F35" t="s">
        <v>198</v>
      </c>
    </row>
    <row r="36" spans="1:6" x14ac:dyDescent="0.3">
      <c r="A36" t="s">
        <v>192</v>
      </c>
      <c r="B36" t="s">
        <v>93</v>
      </c>
      <c r="C36">
        <v>68000</v>
      </c>
      <c r="D36">
        <v>5</v>
      </c>
    </row>
    <row r="37" spans="1:6" x14ac:dyDescent="0.3">
      <c r="A37" t="s">
        <v>193</v>
      </c>
      <c r="B37" t="s">
        <v>59</v>
      </c>
      <c r="C37">
        <v>55000</v>
      </c>
      <c r="D37">
        <v>4</v>
      </c>
    </row>
    <row r="38" spans="1:6" x14ac:dyDescent="0.3">
      <c r="A38" t="s">
        <v>194</v>
      </c>
      <c r="B38" t="s">
        <v>96</v>
      </c>
      <c r="C38">
        <v>48000</v>
      </c>
      <c r="D38">
        <v>2</v>
      </c>
      <c r="F38" t="s">
        <v>199</v>
      </c>
    </row>
    <row r="39" spans="1:6" x14ac:dyDescent="0.3">
      <c r="A39" t="s">
        <v>195</v>
      </c>
      <c r="B39" t="s">
        <v>93</v>
      </c>
      <c r="C39">
        <v>72000</v>
      </c>
      <c r="D39">
        <v>6</v>
      </c>
    </row>
    <row r="40" spans="1:6" x14ac:dyDescent="0.3">
      <c r="A40" t="s">
        <v>196</v>
      </c>
      <c r="B40" t="s">
        <v>59</v>
      </c>
      <c r="C40">
        <v>58000</v>
      </c>
      <c r="D40">
        <v>5</v>
      </c>
    </row>
    <row r="41" spans="1:6" x14ac:dyDescent="0.3">
      <c r="F41" t="s">
        <v>200</v>
      </c>
    </row>
    <row r="47" spans="1:6" x14ac:dyDescent="0.3">
      <c r="F47" t="s">
        <v>201</v>
      </c>
    </row>
    <row r="53" spans="1:6" ht="15.6" x14ac:dyDescent="0.3">
      <c r="A53" s="131" t="s">
        <v>963</v>
      </c>
      <c r="B53" s="128"/>
      <c r="C53" s="128"/>
      <c r="D53" s="128"/>
      <c r="E53" s="128"/>
      <c r="F53" s="128"/>
    </row>
    <row r="56" spans="1:6" x14ac:dyDescent="0.3">
      <c r="A56" s="1" t="s">
        <v>203</v>
      </c>
    </row>
    <row r="57" spans="1:6" x14ac:dyDescent="0.3">
      <c r="A57" t="s">
        <v>204</v>
      </c>
    </row>
    <row r="58" spans="1:6" x14ac:dyDescent="0.3">
      <c r="A58" t="s">
        <v>205</v>
      </c>
    </row>
    <row r="59" spans="1:6" x14ac:dyDescent="0.3">
      <c r="A59" t="s">
        <v>206</v>
      </c>
    </row>
    <row r="61" spans="1:6" x14ac:dyDescent="0.3">
      <c r="A61" t="s">
        <v>207</v>
      </c>
      <c r="B61" t="s">
        <v>208</v>
      </c>
      <c r="C61" cm="1">
        <f t="array" ref="C61">_xlfn.LAMBDA(_xlpm.x,_xlpm.y,_xlpm.x*_xlpm.y)(5,10)</f>
        <v>50</v>
      </c>
    </row>
    <row r="64" spans="1:6" ht="15.6" x14ac:dyDescent="0.3">
      <c r="A64" s="131" t="s">
        <v>209</v>
      </c>
      <c r="B64" s="128"/>
      <c r="C64" s="128"/>
      <c r="D64" s="128"/>
      <c r="E64" s="128"/>
      <c r="F64" s="128"/>
    </row>
    <row r="66" spans="1:3" x14ac:dyDescent="0.3">
      <c r="A66" s="3" t="s">
        <v>36</v>
      </c>
      <c r="B66" s="3" t="s">
        <v>6</v>
      </c>
      <c r="C66" s="3" t="s">
        <v>210</v>
      </c>
    </row>
    <row r="67" spans="1:3" x14ac:dyDescent="0.3">
      <c r="A67" t="s">
        <v>211</v>
      </c>
      <c r="B67" t="s">
        <v>212</v>
      </c>
      <c r="C67" t="str" cm="1">
        <f t="array" ref="C67">_xlfn.IFS(85&gt;=90,"A",85&gt;=80,"B",85&gt;=70,"C",TRUE,"F")</f>
        <v>B</v>
      </c>
    </row>
    <row r="68" spans="1:3" x14ac:dyDescent="0.3">
      <c r="A68" t="s">
        <v>213</v>
      </c>
      <c r="B68" t="s">
        <v>214</v>
      </c>
      <c r="C68" t="str" cm="1">
        <f t="array" ref="C68">_xlfn.SWITCH(2,1,"Jan",2,"Feb",3,"Mar","Unknown")</f>
        <v>Feb</v>
      </c>
    </row>
    <row r="69" spans="1:3" x14ac:dyDescent="0.3">
      <c r="A69" t="s">
        <v>215</v>
      </c>
      <c r="B69" t="s">
        <v>216</v>
      </c>
      <c r="C69">
        <f>_xlfn.MAXIFS(C35:C40,B35:B40,"Sales")</f>
        <v>58000</v>
      </c>
    </row>
    <row r="70" spans="1:3" x14ac:dyDescent="0.3">
      <c r="A70" t="s">
        <v>217</v>
      </c>
      <c r="B70" t="s">
        <v>218</v>
      </c>
      <c r="C70">
        <f>_xlfn.MINIFS(C35:C40,B35:B40,"IT")</f>
        <v>68000</v>
      </c>
    </row>
    <row r="74" spans="1:3" x14ac:dyDescent="0.3">
      <c r="A74" s="18" t="s">
        <v>83</v>
      </c>
      <c r="B74" s="18" t="s">
        <v>84</v>
      </c>
      <c r="C74" s="18" t="s">
        <v>566</v>
      </c>
    </row>
    <row r="75" spans="1:3" x14ac:dyDescent="0.3">
      <c r="A75" s="17" t="s">
        <v>560</v>
      </c>
      <c r="B75" s="17" t="s">
        <v>96</v>
      </c>
      <c r="C75" s="17">
        <v>2019</v>
      </c>
    </row>
    <row r="76" spans="1:3" x14ac:dyDescent="0.3">
      <c r="A76" s="17" t="s">
        <v>561</v>
      </c>
      <c r="B76" s="17" t="s">
        <v>99</v>
      </c>
      <c r="C76" s="17">
        <v>2019</v>
      </c>
    </row>
    <row r="77" spans="1:3" x14ac:dyDescent="0.3">
      <c r="A77" s="17" t="s">
        <v>562</v>
      </c>
      <c r="B77" s="17" t="s">
        <v>564</v>
      </c>
      <c r="C77" s="17">
        <v>2019</v>
      </c>
    </row>
    <row r="78" spans="1:3" x14ac:dyDescent="0.3">
      <c r="A78" s="17" t="s">
        <v>563</v>
      </c>
      <c r="B78" s="17" t="s">
        <v>565</v>
      </c>
      <c r="C78" s="17">
        <v>2019</v>
      </c>
    </row>
    <row r="79" spans="1:3" x14ac:dyDescent="0.3">
      <c r="A79" s="17" t="s">
        <v>560</v>
      </c>
      <c r="B79" s="17" t="s">
        <v>59</v>
      </c>
      <c r="C79" s="17">
        <v>2020</v>
      </c>
    </row>
    <row r="82" spans="1:7" x14ac:dyDescent="0.3">
      <c r="A82" s="18" t="s">
        <v>83</v>
      </c>
      <c r="B82" s="18" t="s">
        <v>84</v>
      </c>
      <c r="C82" s="18" t="s">
        <v>59</v>
      </c>
      <c r="D82" s="18" t="s">
        <v>571</v>
      </c>
      <c r="F82" s="18" t="s">
        <v>568</v>
      </c>
      <c r="G82" s="18" t="s">
        <v>59</v>
      </c>
    </row>
    <row r="83" spans="1:7" x14ac:dyDescent="0.3">
      <c r="A83" s="17" t="s">
        <v>560</v>
      </c>
      <c r="B83" s="17" t="str">
        <f>_xlfn.XLOOKUP(A83,$A$75:$A$79,$B$75:$B$79,"Not  Available",,-1)</f>
        <v>Sales</v>
      </c>
      <c r="C83" s="17">
        <v>12000</v>
      </c>
      <c r="D83" s="17" t="str">
        <f>_xlfn.XLOOKUP(C83,$G$83:$G$84,$F$83:$F$84,"Failed",-1)</f>
        <v>Failed</v>
      </c>
      <c r="F83" s="17" t="s">
        <v>569</v>
      </c>
      <c r="G83" s="17">
        <v>30000</v>
      </c>
    </row>
    <row r="84" spans="1:7" x14ac:dyDescent="0.3">
      <c r="A84" s="17" t="s">
        <v>561</v>
      </c>
      <c r="B84" s="17" t="str">
        <f>_xlfn.XLOOKUP(A84,$A$75:$A$79,$B$75:$B$79,"Not  Available",,-1)</f>
        <v>Finance</v>
      </c>
      <c r="C84" s="17">
        <v>34000</v>
      </c>
      <c r="D84" s="17" t="str">
        <f>_xlfn.XLOOKUP(C84,$G$83:$G$84,$F$83:$F$84,"Failed",-1)</f>
        <v>Rm 2000</v>
      </c>
      <c r="F84" s="17" t="s">
        <v>570</v>
      </c>
      <c r="G84" s="17">
        <v>50000</v>
      </c>
    </row>
    <row r="85" spans="1:7" x14ac:dyDescent="0.3">
      <c r="A85" s="17" t="s">
        <v>562</v>
      </c>
      <c r="B85" s="17" t="str">
        <f>_xlfn.XLOOKUP(A85,$A$75:$A$79,$B$75:$B$79,"Not  Available",,-1)</f>
        <v>Admin</v>
      </c>
      <c r="C85" s="17">
        <v>56000</v>
      </c>
      <c r="D85" s="17" t="str">
        <f>_xlfn.XLOOKUP(C85,$G$83:$G$84,$F$83:$F$84,"Failed",-1)</f>
        <v>RM 4000</v>
      </c>
    </row>
    <row r="86" spans="1:7" x14ac:dyDescent="0.3">
      <c r="A86" s="17" t="s">
        <v>567</v>
      </c>
      <c r="B86" s="17" t="str">
        <f>_xlfn.XLOOKUP(A86,$A$75:$A$79,$B$75:$B$79,"Not  Available",,-1)</f>
        <v>Not  Available</v>
      </c>
      <c r="C86" s="17">
        <v>23000</v>
      </c>
      <c r="D86" s="17" t="str">
        <f>_xlfn.XLOOKUP(C86,$G$83:$G$84,$F$83:$F$84,"Failed",-1)</f>
        <v>Failed</v>
      </c>
    </row>
    <row r="90" spans="1:7" ht="15.6" x14ac:dyDescent="0.3">
      <c r="A90" s="146" t="s">
        <v>572</v>
      </c>
      <c r="B90" s="146"/>
      <c r="C90" s="146"/>
      <c r="D90" s="146"/>
      <c r="E90" s="146"/>
      <c r="F90" s="146"/>
    </row>
    <row r="92" spans="1:7" x14ac:dyDescent="0.3">
      <c r="A92" t="s">
        <v>573</v>
      </c>
    </row>
    <row r="93" spans="1:7" x14ac:dyDescent="0.3">
      <c r="A93" s="23" t="s">
        <v>574</v>
      </c>
    </row>
    <row r="95" spans="1:7" x14ac:dyDescent="0.3">
      <c r="A95" s="27" t="s">
        <v>575</v>
      </c>
      <c r="B95" s="27" t="s">
        <v>282</v>
      </c>
      <c r="C95" s="27" t="s">
        <v>576</v>
      </c>
      <c r="D95" s="27" t="s">
        <v>455</v>
      </c>
    </row>
    <row r="96" spans="1:7" x14ac:dyDescent="0.3">
      <c r="A96" s="17" t="s">
        <v>441</v>
      </c>
      <c r="B96" s="17">
        <v>85</v>
      </c>
      <c r="C96" s="28"/>
      <c r="D96" s="29" t="s">
        <v>577</v>
      </c>
    </row>
    <row r="97" spans="1:6" x14ac:dyDescent="0.3">
      <c r="A97" s="17" t="s">
        <v>442</v>
      </c>
      <c r="B97" s="17">
        <v>58</v>
      </c>
      <c r="C97" s="28"/>
      <c r="D97" s="29" t="s">
        <v>578</v>
      </c>
    </row>
    <row r="98" spans="1:6" x14ac:dyDescent="0.3">
      <c r="A98" s="17" t="s">
        <v>193</v>
      </c>
      <c r="B98" s="17">
        <v>72</v>
      </c>
      <c r="C98" s="28"/>
      <c r="D98" s="29" t="s">
        <v>577</v>
      </c>
    </row>
    <row r="99" spans="1:6" x14ac:dyDescent="0.3">
      <c r="A99" s="17" t="s">
        <v>194</v>
      </c>
      <c r="B99" s="17">
        <v>45</v>
      </c>
      <c r="C99" s="28"/>
      <c r="D99" s="29" t="s">
        <v>578</v>
      </c>
    </row>
    <row r="100" spans="1:6" x14ac:dyDescent="0.3">
      <c r="A100" s="17" t="s">
        <v>195</v>
      </c>
      <c r="B100" s="17">
        <v>90</v>
      </c>
      <c r="C100" s="28"/>
      <c r="D100" s="29" t="s">
        <v>577</v>
      </c>
    </row>
    <row r="101" spans="1:6" x14ac:dyDescent="0.3">
      <c r="A101" s="17" t="s">
        <v>196</v>
      </c>
      <c r="B101" s="17">
        <v>60</v>
      </c>
      <c r="C101" s="28"/>
      <c r="D101" s="29" t="s">
        <v>577</v>
      </c>
    </row>
    <row r="102" spans="1:6" x14ac:dyDescent="0.3">
      <c r="A102" s="17" t="s">
        <v>443</v>
      </c>
      <c r="B102" s="17">
        <v>33</v>
      </c>
      <c r="C102" s="28"/>
      <c r="D102" s="29" t="s">
        <v>578</v>
      </c>
    </row>
    <row r="103" spans="1:6" x14ac:dyDescent="0.3">
      <c r="A103" s="17" t="s">
        <v>444</v>
      </c>
      <c r="B103" s="17">
        <v>78</v>
      </c>
      <c r="C103" s="28"/>
      <c r="D103" s="29" t="s">
        <v>577</v>
      </c>
    </row>
    <row r="105" spans="1:6" x14ac:dyDescent="0.3">
      <c r="A105" s="1" t="s">
        <v>579</v>
      </c>
    </row>
    <row r="106" spans="1:6" x14ac:dyDescent="0.3">
      <c r="A106" t="s">
        <v>580</v>
      </c>
    </row>
    <row r="109" spans="1:6" ht="15.6" x14ac:dyDescent="0.3">
      <c r="A109" s="146" t="s">
        <v>581</v>
      </c>
      <c r="B109" s="146"/>
      <c r="C109" s="146"/>
      <c r="D109" s="146"/>
      <c r="E109" s="146"/>
      <c r="F109" s="146"/>
    </row>
    <row r="111" spans="1:6" x14ac:dyDescent="0.3">
      <c r="A111" t="s">
        <v>582</v>
      </c>
    </row>
    <row r="112" spans="1:6" x14ac:dyDescent="0.3">
      <c r="A112" s="23" t="s">
        <v>583</v>
      </c>
    </row>
    <row r="114" spans="1:7" x14ac:dyDescent="0.3">
      <c r="A114" s="26" t="s">
        <v>575</v>
      </c>
      <c r="B114" s="26" t="s">
        <v>282</v>
      </c>
      <c r="C114" s="26" t="s">
        <v>584</v>
      </c>
      <c r="D114" s="26" t="s">
        <v>455</v>
      </c>
      <c r="F114">
        <v>0</v>
      </c>
      <c r="G114" t="s">
        <v>590</v>
      </c>
    </row>
    <row r="115" spans="1:7" x14ac:dyDescent="0.3">
      <c r="A115" t="s">
        <v>191</v>
      </c>
      <c r="B115">
        <v>95</v>
      </c>
      <c r="C115" s="30"/>
      <c r="D115" t="s">
        <v>552</v>
      </c>
      <c r="F115">
        <v>60</v>
      </c>
      <c r="G115" t="s">
        <v>588</v>
      </c>
    </row>
    <row r="116" spans="1:7" x14ac:dyDescent="0.3">
      <c r="A116" t="s">
        <v>585</v>
      </c>
      <c r="B116">
        <v>82</v>
      </c>
      <c r="C116" s="30"/>
      <c r="D116" t="s">
        <v>553</v>
      </c>
      <c r="F116">
        <v>70</v>
      </c>
      <c r="G116" t="s">
        <v>554</v>
      </c>
    </row>
    <row r="117" spans="1:7" x14ac:dyDescent="0.3">
      <c r="A117" t="s">
        <v>586</v>
      </c>
      <c r="B117">
        <v>74</v>
      </c>
      <c r="C117" s="30"/>
      <c r="D117" t="s">
        <v>554</v>
      </c>
      <c r="F117">
        <v>80</v>
      </c>
      <c r="G117" t="s">
        <v>553</v>
      </c>
    </row>
    <row r="118" spans="1:7" x14ac:dyDescent="0.3">
      <c r="A118" t="s">
        <v>587</v>
      </c>
      <c r="B118">
        <v>65</v>
      </c>
      <c r="C118" s="30"/>
      <c r="D118" t="s">
        <v>588</v>
      </c>
      <c r="F118">
        <v>90</v>
      </c>
      <c r="G118" t="s">
        <v>552</v>
      </c>
    </row>
    <row r="119" spans="1:7" x14ac:dyDescent="0.3">
      <c r="A119" t="s">
        <v>589</v>
      </c>
      <c r="B119">
        <v>58</v>
      </c>
      <c r="C119" s="30"/>
      <c r="D119" t="s">
        <v>590</v>
      </c>
    </row>
    <row r="120" spans="1:7" x14ac:dyDescent="0.3">
      <c r="A120" t="s">
        <v>591</v>
      </c>
      <c r="B120">
        <v>88</v>
      </c>
      <c r="C120" s="30"/>
      <c r="D120" t="s">
        <v>553</v>
      </c>
    </row>
    <row r="121" spans="1:7" x14ac:dyDescent="0.3">
      <c r="A121" t="s">
        <v>592</v>
      </c>
      <c r="B121">
        <v>91</v>
      </c>
      <c r="C121" s="30"/>
      <c r="D121" t="s">
        <v>552</v>
      </c>
    </row>
    <row r="122" spans="1:7" x14ac:dyDescent="0.3">
      <c r="A122" t="s">
        <v>593</v>
      </c>
      <c r="B122">
        <v>70</v>
      </c>
      <c r="C122" s="30"/>
      <c r="D122" t="s">
        <v>554</v>
      </c>
    </row>
    <row r="124" spans="1:7" x14ac:dyDescent="0.3">
      <c r="A124" s="1" t="s">
        <v>579</v>
      </c>
    </row>
    <row r="125" spans="1:7" x14ac:dyDescent="0.3">
      <c r="A125" t="s">
        <v>594</v>
      </c>
    </row>
    <row r="127" spans="1:7" x14ac:dyDescent="0.3">
      <c r="A127" s="24"/>
    </row>
    <row r="130" spans="1:6" ht="15.6" x14ac:dyDescent="0.3">
      <c r="A130" s="146" t="s">
        <v>595</v>
      </c>
      <c r="B130" s="146"/>
      <c r="C130" s="146"/>
      <c r="D130" s="146"/>
      <c r="E130" s="146"/>
      <c r="F130" s="146"/>
    </row>
    <row r="132" spans="1:6" x14ac:dyDescent="0.3">
      <c r="A132" t="s">
        <v>596</v>
      </c>
    </row>
    <row r="133" spans="1:6" x14ac:dyDescent="0.3">
      <c r="A133" t="s">
        <v>597</v>
      </c>
    </row>
    <row r="134" spans="1:6" x14ac:dyDescent="0.3">
      <c r="A134" t="s">
        <v>598</v>
      </c>
    </row>
    <row r="136" spans="1:6" x14ac:dyDescent="0.3">
      <c r="A136" s="1" t="s">
        <v>599</v>
      </c>
    </row>
    <row r="137" spans="1:6" x14ac:dyDescent="0.3">
      <c r="A137" t="s">
        <v>600</v>
      </c>
    </row>
    <row r="139" spans="1:6" x14ac:dyDescent="0.3">
      <c r="A139" s="31" t="s">
        <v>440</v>
      </c>
      <c r="B139" s="31" t="s">
        <v>59</v>
      </c>
      <c r="C139" s="31" t="s">
        <v>190</v>
      </c>
      <c r="D139" s="31" t="s">
        <v>601</v>
      </c>
      <c r="E139" s="31" t="s">
        <v>455</v>
      </c>
    </row>
    <row r="140" spans="1:6" x14ac:dyDescent="0.3">
      <c r="A140" t="s">
        <v>602</v>
      </c>
      <c r="B140">
        <v>15000</v>
      </c>
      <c r="C140">
        <v>3</v>
      </c>
      <c r="D140" s="30"/>
      <c r="E140" t="s">
        <v>603</v>
      </c>
    </row>
    <row r="141" spans="1:6" x14ac:dyDescent="0.3">
      <c r="A141" t="s">
        <v>604</v>
      </c>
      <c r="B141">
        <v>8000</v>
      </c>
      <c r="C141">
        <v>4</v>
      </c>
      <c r="D141" s="30"/>
      <c r="E141" t="s">
        <v>605</v>
      </c>
    </row>
    <row r="142" spans="1:6" x14ac:dyDescent="0.3">
      <c r="A142" t="s">
        <v>606</v>
      </c>
      <c r="B142">
        <v>12000</v>
      </c>
      <c r="C142">
        <v>1</v>
      </c>
      <c r="D142" s="30"/>
      <c r="E142" t="s">
        <v>605</v>
      </c>
    </row>
    <row r="143" spans="1:6" x14ac:dyDescent="0.3">
      <c r="A143" t="s">
        <v>607</v>
      </c>
      <c r="B143">
        <v>20000</v>
      </c>
      <c r="C143">
        <v>5</v>
      </c>
      <c r="D143" s="30"/>
      <c r="E143" t="s">
        <v>603</v>
      </c>
    </row>
    <row r="144" spans="1:6" x14ac:dyDescent="0.3">
      <c r="A144" t="s">
        <v>608</v>
      </c>
      <c r="B144">
        <v>9500</v>
      </c>
      <c r="C144">
        <v>2</v>
      </c>
      <c r="D144" s="30"/>
      <c r="E144" t="s">
        <v>605</v>
      </c>
    </row>
    <row r="145" spans="1:5" x14ac:dyDescent="0.3">
      <c r="A145" t="s">
        <v>609</v>
      </c>
      <c r="B145">
        <v>11000</v>
      </c>
      <c r="C145">
        <v>2</v>
      </c>
      <c r="D145" s="30"/>
      <c r="E145" t="s">
        <v>603</v>
      </c>
    </row>
    <row r="147" spans="1:5" x14ac:dyDescent="0.3">
      <c r="A147" s="24"/>
    </row>
    <row r="150" spans="1:5" x14ac:dyDescent="0.3">
      <c r="A150" s="1" t="s">
        <v>610</v>
      </c>
    </row>
    <row r="151" spans="1:5" x14ac:dyDescent="0.3">
      <c r="A151" t="s">
        <v>611</v>
      </c>
    </row>
    <row r="153" spans="1:5" x14ac:dyDescent="0.3">
      <c r="A153" s="32" t="s">
        <v>612</v>
      </c>
      <c r="B153" s="32" t="s">
        <v>613</v>
      </c>
      <c r="C153" s="32" t="s">
        <v>614</v>
      </c>
      <c r="D153" s="32" t="s">
        <v>615</v>
      </c>
      <c r="E153" s="32" t="s">
        <v>455</v>
      </c>
    </row>
    <row r="154" spans="1:5" x14ac:dyDescent="0.3">
      <c r="A154" t="s">
        <v>616</v>
      </c>
      <c r="B154">
        <v>250</v>
      </c>
      <c r="C154" t="s">
        <v>617</v>
      </c>
      <c r="D154" s="30"/>
      <c r="E154" t="s">
        <v>605</v>
      </c>
    </row>
    <row r="155" spans="1:5" x14ac:dyDescent="0.3">
      <c r="A155" t="s">
        <v>618</v>
      </c>
      <c r="B155">
        <v>600</v>
      </c>
      <c r="C155" t="s">
        <v>617</v>
      </c>
      <c r="D155" s="30"/>
      <c r="E155" t="s">
        <v>603</v>
      </c>
    </row>
    <row r="156" spans="1:5" x14ac:dyDescent="0.3">
      <c r="A156" t="s">
        <v>619</v>
      </c>
      <c r="B156">
        <v>150</v>
      </c>
      <c r="C156" t="s">
        <v>620</v>
      </c>
      <c r="D156" s="30"/>
      <c r="E156" t="s">
        <v>603</v>
      </c>
    </row>
    <row r="157" spans="1:5" x14ac:dyDescent="0.3">
      <c r="A157" t="s">
        <v>621</v>
      </c>
      <c r="B157">
        <v>800</v>
      </c>
      <c r="C157" t="s">
        <v>620</v>
      </c>
      <c r="D157" s="30"/>
      <c r="E157" t="s">
        <v>603</v>
      </c>
    </row>
    <row r="158" spans="1:5" x14ac:dyDescent="0.3">
      <c r="A158" t="s">
        <v>622</v>
      </c>
      <c r="B158">
        <v>300</v>
      </c>
      <c r="C158" t="s">
        <v>617</v>
      </c>
      <c r="D158" s="30"/>
      <c r="E158" t="s">
        <v>605</v>
      </c>
    </row>
    <row r="159" spans="1:5" x14ac:dyDescent="0.3">
      <c r="A159" t="s">
        <v>623</v>
      </c>
      <c r="B159">
        <v>450</v>
      </c>
      <c r="C159" t="s">
        <v>620</v>
      </c>
      <c r="D159" s="30"/>
      <c r="E159" t="s">
        <v>603</v>
      </c>
    </row>
    <row r="161" spans="1:6" x14ac:dyDescent="0.3">
      <c r="A161" s="24"/>
    </row>
    <row r="163" spans="1:6" ht="15.6" x14ac:dyDescent="0.3">
      <c r="A163" s="146" t="s">
        <v>624</v>
      </c>
      <c r="B163" s="146"/>
      <c r="C163" s="146"/>
      <c r="D163" s="146"/>
      <c r="E163" s="146"/>
      <c r="F163" s="146"/>
    </row>
    <row r="165" spans="1:6" x14ac:dyDescent="0.3">
      <c r="A165" t="s">
        <v>625</v>
      </c>
    </row>
    <row r="166" spans="1:6" x14ac:dyDescent="0.3">
      <c r="A166" t="s">
        <v>626</v>
      </c>
    </row>
    <row r="167" spans="1:6" x14ac:dyDescent="0.3">
      <c r="A167" t="s">
        <v>627</v>
      </c>
    </row>
    <row r="169" spans="1:6" x14ac:dyDescent="0.3">
      <c r="A169" s="1" t="s">
        <v>628</v>
      </c>
    </row>
    <row r="170" spans="1:6" x14ac:dyDescent="0.3">
      <c r="A170" t="s">
        <v>629</v>
      </c>
    </row>
    <row r="172" spans="1:6" x14ac:dyDescent="0.3">
      <c r="A172" s="25" t="s">
        <v>575</v>
      </c>
      <c r="B172" s="25" t="s">
        <v>282</v>
      </c>
      <c r="C172" s="25" t="s">
        <v>630</v>
      </c>
      <c r="D172" s="25" t="s">
        <v>631</v>
      </c>
      <c r="E172" s="25" t="s">
        <v>455</v>
      </c>
    </row>
    <row r="173" spans="1:6" x14ac:dyDescent="0.3">
      <c r="A173" t="s">
        <v>632</v>
      </c>
      <c r="B173">
        <v>92</v>
      </c>
      <c r="C173" s="16">
        <v>0.95</v>
      </c>
      <c r="E173" t="b">
        <v>1</v>
      </c>
    </row>
    <row r="174" spans="1:6" x14ac:dyDescent="0.3">
      <c r="A174" t="s">
        <v>633</v>
      </c>
      <c r="B174">
        <v>88</v>
      </c>
      <c r="C174" s="16">
        <v>0.85</v>
      </c>
      <c r="E174" t="b">
        <v>0</v>
      </c>
    </row>
    <row r="175" spans="1:6" x14ac:dyDescent="0.3">
      <c r="A175" t="s">
        <v>634</v>
      </c>
      <c r="B175">
        <v>78</v>
      </c>
      <c r="C175" s="16">
        <v>0.92</v>
      </c>
      <c r="E175" t="b">
        <v>0</v>
      </c>
    </row>
    <row r="176" spans="1:6" x14ac:dyDescent="0.3">
      <c r="A176" t="s">
        <v>635</v>
      </c>
      <c r="B176">
        <v>95</v>
      </c>
      <c r="C176" s="16">
        <v>0.98</v>
      </c>
      <c r="E176" t="b">
        <v>1</v>
      </c>
    </row>
    <row r="177" spans="1:5" x14ac:dyDescent="0.3">
      <c r="A177" t="s">
        <v>636</v>
      </c>
      <c r="B177">
        <v>85</v>
      </c>
      <c r="C177" s="16">
        <v>0.9</v>
      </c>
      <c r="E177" t="b">
        <v>1</v>
      </c>
    </row>
    <row r="178" spans="1:5" x14ac:dyDescent="0.3">
      <c r="A178" t="s">
        <v>637</v>
      </c>
      <c r="B178">
        <v>90</v>
      </c>
      <c r="C178" s="16">
        <v>0.88</v>
      </c>
      <c r="E178" t="b">
        <v>0</v>
      </c>
    </row>
    <row r="179" spans="1:5" x14ac:dyDescent="0.3">
      <c r="A179" t="s">
        <v>638</v>
      </c>
      <c r="B179">
        <v>82</v>
      </c>
      <c r="C179" s="16">
        <v>0.94</v>
      </c>
      <c r="E179" t="b">
        <v>0</v>
      </c>
    </row>
    <row r="180" spans="1:5" x14ac:dyDescent="0.3">
      <c r="A180" t="s">
        <v>639</v>
      </c>
      <c r="B180">
        <v>91</v>
      </c>
      <c r="C180" s="16">
        <v>0.91</v>
      </c>
      <c r="E180" t="b">
        <v>1</v>
      </c>
    </row>
    <row r="182" spans="1:5" x14ac:dyDescent="0.3">
      <c r="A182" s="33"/>
    </row>
    <row r="185" spans="1:5" x14ac:dyDescent="0.3">
      <c r="A185" s="1" t="s">
        <v>640</v>
      </c>
    </row>
    <row r="186" spans="1:5" x14ac:dyDescent="0.3">
      <c r="A186" t="s">
        <v>641</v>
      </c>
    </row>
    <row r="188" spans="1:5" x14ac:dyDescent="0.3">
      <c r="A188" s="25" t="s">
        <v>57</v>
      </c>
      <c r="B188" s="25" t="s">
        <v>150</v>
      </c>
      <c r="C188" s="25" t="s">
        <v>642</v>
      </c>
      <c r="D188" s="25" t="s">
        <v>643</v>
      </c>
      <c r="E188" s="25" t="s">
        <v>455</v>
      </c>
    </row>
    <row r="189" spans="1:5" x14ac:dyDescent="0.3">
      <c r="A189" t="s">
        <v>459</v>
      </c>
      <c r="B189">
        <v>15</v>
      </c>
      <c r="C189">
        <v>10</v>
      </c>
      <c r="E189" t="b">
        <v>1</v>
      </c>
    </row>
    <row r="190" spans="1:5" x14ac:dyDescent="0.3">
      <c r="A190" t="s">
        <v>462</v>
      </c>
      <c r="B190">
        <v>50</v>
      </c>
      <c r="C190">
        <v>45</v>
      </c>
      <c r="E190" t="b">
        <v>1</v>
      </c>
    </row>
    <row r="191" spans="1:5" x14ac:dyDescent="0.3">
      <c r="A191" t="s">
        <v>644</v>
      </c>
      <c r="B191">
        <v>30</v>
      </c>
      <c r="C191">
        <v>25</v>
      </c>
      <c r="E191" t="b">
        <v>0</v>
      </c>
    </row>
    <row r="192" spans="1:5" x14ac:dyDescent="0.3">
      <c r="A192" t="s">
        <v>645</v>
      </c>
      <c r="B192">
        <v>10</v>
      </c>
      <c r="C192">
        <v>35</v>
      </c>
      <c r="E192" t="b">
        <v>1</v>
      </c>
    </row>
    <row r="193" spans="1:5" x14ac:dyDescent="0.3">
      <c r="A193" t="s">
        <v>646</v>
      </c>
      <c r="B193">
        <v>25</v>
      </c>
      <c r="C193">
        <v>15</v>
      </c>
      <c r="E193" t="b">
        <v>0</v>
      </c>
    </row>
    <row r="194" spans="1:5" x14ac:dyDescent="0.3">
      <c r="A194" t="s">
        <v>647</v>
      </c>
      <c r="B194">
        <v>18</v>
      </c>
      <c r="C194">
        <v>32</v>
      </c>
      <c r="E194" t="b">
        <v>1</v>
      </c>
    </row>
    <row r="195" spans="1:5" x14ac:dyDescent="0.3">
      <c r="A195" t="s">
        <v>648</v>
      </c>
      <c r="B195">
        <v>40</v>
      </c>
      <c r="C195">
        <v>20</v>
      </c>
      <c r="E195" t="b">
        <v>0</v>
      </c>
    </row>
    <row r="196" spans="1:5" x14ac:dyDescent="0.3">
      <c r="A196" t="s">
        <v>649</v>
      </c>
      <c r="B196">
        <v>5</v>
      </c>
      <c r="C196">
        <v>50</v>
      </c>
      <c r="E196" t="b">
        <v>1</v>
      </c>
    </row>
    <row r="198" spans="1:5" x14ac:dyDescent="0.3">
      <c r="A198" s="33"/>
    </row>
    <row r="201" spans="1:5" x14ac:dyDescent="0.3">
      <c r="A201" s="1" t="s">
        <v>650</v>
      </c>
    </row>
    <row r="202" spans="1:5" x14ac:dyDescent="0.3">
      <c r="A202" t="s">
        <v>664</v>
      </c>
    </row>
    <row r="204" spans="1:5" x14ac:dyDescent="0.3">
      <c r="A204" s="25" t="s">
        <v>651</v>
      </c>
      <c r="B204" s="25" t="s">
        <v>652</v>
      </c>
      <c r="C204" s="25" t="s">
        <v>653</v>
      </c>
      <c r="D204" s="25" t="s">
        <v>654</v>
      </c>
      <c r="E204" s="25" t="s">
        <v>655</v>
      </c>
    </row>
    <row r="205" spans="1:5" x14ac:dyDescent="0.3">
      <c r="A205" t="s">
        <v>656</v>
      </c>
      <c r="B205">
        <v>720</v>
      </c>
      <c r="C205" s="34">
        <v>55000</v>
      </c>
      <c r="D205" t="s">
        <v>605</v>
      </c>
    </row>
    <row r="206" spans="1:5" x14ac:dyDescent="0.3">
      <c r="A206" t="s">
        <v>657</v>
      </c>
      <c r="B206">
        <v>680</v>
      </c>
      <c r="C206" s="34">
        <v>60000</v>
      </c>
      <c r="D206" t="s">
        <v>605</v>
      </c>
    </row>
    <row r="207" spans="1:5" x14ac:dyDescent="0.3">
      <c r="A207" t="s">
        <v>658</v>
      </c>
      <c r="B207">
        <v>650</v>
      </c>
      <c r="C207" s="34">
        <v>45000</v>
      </c>
      <c r="D207" t="s">
        <v>603</v>
      </c>
    </row>
    <row r="208" spans="1:5" x14ac:dyDescent="0.3">
      <c r="A208" t="s">
        <v>659</v>
      </c>
      <c r="B208">
        <v>750</v>
      </c>
      <c r="C208" s="34">
        <v>48000</v>
      </c>
      <c r="D208" t="s">
        <v>605</v>
      </c>
    </row>
    <row r="209" spans="1:6" x14ac:dyDescent="0.3">
      <c r="A209" t="s">
        <v>660</v>
      </c>
      <c r="B209">
        <v>710</v>
      </c>
      <c r="C209" s="34">
        <v>52000</v>
      </c>
      <c r="D209" t="s">
        <v>603</v>
      </c>
    </row>
    <row r="210" spans="1:6" x14ac:dyDescent="0.3">
      <c r="A210" t="s">
        <v>661</v>
      </c>
      <c r="B210">
        <v>690</v>
      </c>
      <c r="C210" s="34">
        <v>70000</v>
      </c>
      <c r="D210" t="s">
        <v>603</v>
      </c>
    </row>
    <row r="211" spans="1:6" x14ac:dyDescent="0.3">
      <c r="A211" t="s">
        <v>662</v>
      </c>
      <c r="B211">
        <v>700</v>
      </c>
      <c r="C211" s="34">
        <v>50000</v>
      </c>
      <c r="D211" t="s">
        <v>605</v>
      </c>
    </row>
    <row r="212" spans="1:6" x14ac:dyDescent="0.3">
      <c r="A212" t="s">
        <v>663</v>
      </c>
      <c r="B212">
        <v>695</v>
      </c>
      <c r="C212" s="34">
        <v>55000</v>
      </c>
      <c r="D212" t="s">
        <v>605</v>
      </c>
    </row>
    <row r="214" spans="1:6" x14ac:dyDescent="0.3">
      <c r="A214" s="33"/>
    </row>
    <row r="215" spans="1:6" ht="18" x14ac:dyDescent="0.35">
      <c r="A215" s="144" t="s">
        <v>1173</v>
      </c>
      <c r="B215" s="145"/>
      <c r="C215" s="145"/>
      <c r="D215" s="145"/>
      <c r="E215" s="145"/>
      <c r="F215" s="145"/>
    </row>
    <row r="217" spans="1:6" x14ac:dyDescent="0.3">
      <c r="A217" t="s">
        <v>1174</v>
      </c>
    </row>
    <row r="218" spans="1:6" x14ac:dyDescent="0.3">
      <c r="A218" t="s">
        <v>1175</v>
      </c>
    </row>
    <row r="220" spans="1:6" x14ac:dyDescent="0.3">
      <c r="A220" s="20" t="s">
        <v>36</v>
      </c>
      <c r="B220" s="20" t="s">
        <v>37</v>
      </c>
      <c r="C220" s="20" t="s">
        <v>6</v>
      </c>
      <c r="D220" s="20" t="s">
        <v>148</v>
      </c>
    </row>
    <row r="221" spans="1:6" x14ac:dyDescent="0.3">
      <c r="A221" s="113" t="s">
        <v>1176</v>
      </c>
      <c r="B221" s="113" t="s">
        <v>1177</v>
      </c>
      <c r="C221" s="113" t="s">
        <v>1178</v>
      </c>
      <c r="D221" s="113" t="s">
        <v>883</v>
      </c>
    </row>
    <row r="222" spans="1:6" x14ac:dyDescent="0.3">
      <c r="A222" s="17" t="s">
        <v>1179</v>
      </c>
      <c r="B222" s="17" t="s">
        <v>1180</v>
      </c>
      <c r="C222" s="17" t="s">
        <v>1181</v>
      </c>
      <c r="D222" s="17" t="s">
        <v>1182</v>
      </c>
    </row>
    <row r="223" spans="1:6" x14ac:dyDescent="0.3">
      <c r="A223" s="17" t="s">
        <v>1183</v>
      </c>
      <c r="B223" s="17" t="s">
        <v>1184</v>
      </c>
      <c r="C223" s="17" t="s">
        <v>1185</v>
      </c>
      <c r="D223" s="17" t="s">
        <v>883</v>
      </c>
    </row>
    <row r="224" spans="1:6" x14ac:dyDescent="0.3">
      <c r="A224" s="113" t="s">
        <v>1186</v>
      </c>
      <c r="B224" s="113" t="s">
        <v>1187</v>
      </c>
      <c r="C224" s="113" t="s">
        <v>1188</v>
      </c>
      <c r="D224" s="113" t="s">
        <v>883</v>
      </c>
    </row>
    <row r="227" spans="1:4" ht="15.6" x14ac:dyDescent="0.3">
      <c r="A227" s="114" t="s">
        <v>1189</v>
      </c>
      <c r="B227" s="115"/>
      <c r="C227" s="115"/>
      <c r="D227" s="115"/>
    </row>
    <row r="229" spans="1:4" x14ac:dyDescent="0.3">
      <c r="A229" s="1" t="s">
        <v>1190</v>
      </c>
    </row>
    <row r="230" spans="1:4" x14ac:dyDescent="0.3">
      <c r="A230" t="s">
        <v>1191</v>
      </c>
      <c r="B230" s="38">
        <v>250000</v>
      </c>
    </row>
    <row r="231" spans="1:4" x14ac:dyDescent="0.3">
      <c r="A231" t="s">
        <v>1192</v>
      </c>
      <c r="B231" s="52">
        <v>6.5000000000000002E-2</v>
      </c>
    </row>
    <row r="232" spans="1:4" x14ac:dyDescent="0.3">
      <c r="A232" t="s">
        <v>1193</v>
      </c>
      <c r="B232">
        <v>30</v>
      </c>
    </row>
    <row r="233" spans="1:4" x14ac:dyDescent="0.3">
      <c r="A233" t="s">
        <v>1194</v>
      </c>
      <c r="B233">
        <v>12</v>
      </c>
    </row>
    <row r="235" spans="1:4" x14ac:dyDescent="0.3">
      <c r="A235" s="1" t="s">
        <v>1195</v>
      </c>
    </row>
    <row r="236" spans="1:4" x14ac:dyDescent="0.3">
      <c r="A236" t="s">
        <v>1196</v>
      </c>
      <c r="B236" s="116"/>
      <c r="C236" s="24" t="s">
        <v>1201</v>
      </c>
    </row>
    <row r="237" spans="1:4" x14ac:dyDescent="0.3">
      <c r="A237" t="s">
        <v>1197</v>
      </c>
      <c r="B237" s="116"/>
      <c r="C237" s="24" t="s">
        <v>1202</v>
      </c>
    </row>
    <row r="238" spans="1:4" x14ac:dyDescent="0.3">
      <c r="A238" t="s">
        <v>1198</v>
      </c>
      <c r="B238" s="116"/>
      <c r="C238" s="24" t="s">
        <v>1203</v>
      </c>
    </row>
    <row r="239" spans="1:4" x14ac:dyDescent="0.3">
      <c r="A239" t="s">
        <v>1199</v>
      </c>
      <c r="B239" s="116"/>
      <c r="C239" s="24" t="s">
        <v>1204</v>
      </c>
    </row>
    <row r="240" spans="1:4" x14ac:dyDescent="0.3">
      <c r="A240" t="s">
        <v>1200</v>
      </c>
      <c r="B240" s="116"/>
      <c r="C240" s="24" t="s">
        <v>1205</v>
      </c>
    </row>
    <row r="243" spans="1:4" ht="15.6" x14ac:dyDescent="0.3">
      <c r="A243" s="111" t="s">
        <v>1206</v>
      </c>
      <c r="B243" s="13"/>
      <c r="C243" s="13"/>
      <c r="D243" s="13"/>
    </row>
    <row r="245" spans="1:4" x14ac:dyDescent="0.3">
      <c r="A245" s="1" t="s">
        <v>1207</v>
      </c>
    </row>
    <row r="246" spans="1:4" x14ac:dyDescent="0.3">
      <c r="A246" t="s">
        <v>1208</v>
      </c>
      <c r="B246" s="38">
        <v>10000</v>
      </c>
    </row>
    <row r="247" spans="1:4" x14ac:dyDescent="0.3">
      <c r="A247" t="s">
        <v>1209</v>
      </c>
      <c r="B247" s="38">
        <v>500</v>
      </c>
    </row>
    <row r="248" spans="1:4" x14ac:dyDescent="0.3">
      <c r="A248" t="s">
        <v>1210</v>
      </c>
      <c r="B248" s="52">
        <v>0.08</v>
      </c>
    </row>
    <row r="249" spans="1:4" x14ac:dyDescent="0.3">
      <c r="A249" t="s">
        <v>1211</v>
      </c>
      <c r="B249">
        <v>20</v>
      </c>
    </row>
    <row r="251" spans="1:4" x14ac:dyDescent="0.3">
      <c r="A251" s="1" t="s">
        <v>1195</v>
      </c>
    </row>
    <row r="252" spans="1:4" x14ac:dyDescent="0.3">
      <c r="A252" t="s">
        <v>1212</v>
      </c>
      <c r="B252" s="116"/>
      <c r="C252" s="24" t="s">
        <v>1215</v>
      </c>
    </row>
    <row r="253" spans="1:4" x14ac:dyDescent="0.3">
      <c r="A253" t="s">
        <v>1213</v>
      </c>
      <c r="B253" s="116"/>
      <c r="C253" s="24" t="s">
        <v>1216</v>
      </c>
    </row>
    <row r="254" spans="1:4" x14ac:dyDescent="0.3">
      <c r="A254" t="s">
        <v>1214</v>
      </c>
      <c r="B254" s="116"/>
      <c r="C254" s="24" t="s">
        <v>1217</v>
      </c>
    </row>
    <row r="258" spans="1:4" ht="15.6" x14ac:dyDescent="0.3">
      <c r="A258" s="117" t="s">
        <v>1218</v>
      </c>
      <c r="B258" s="118"/>
      <c r="C258" s="118"/>
      <c r="D258" s="118"/>
    </row>
    <row r="260" spans="1:4" x14ac:dyDescent="0.3">
      <c r="A260" s="1" t="s">
        <v>1219</v>
      </c>
    </row>
    <row r="261" spans="1:4" x14ac:dyDescent="0.3">
      <c r="A261" t="s">
        <v>1220</v>
      </c>
    </row>
    <row r="262" spans="1:4" x14ac:dyDescent="0.3">
      <c r="A262" t="s">
        <v>1221</v>
      </c>
    </row>
    <row r="263" spans="1:4" x14ac:dyDescent="0.3">
      <c r="A263" t="s">
        <v>1222</v>
      </c>
    </row>
    <row r="264" spans="1:4" x14ac:dyDescent="0.3">
      <c r="A264" t="s">
        <v>1223</v>
      </c>
    </row>
    <row r="266" spans="1:4" x14ac:dyDescent="0.3">
      <c r="A266" s="1" t="s">
        <v>1224</v>
      </c>
    </row>
    <row r="267" spans="1:4" x14ac:dyDescent="0.3">
      <c r="A267" t="s">
        <v>1225</v>
      </c>
    </row>
    <row r="268" spans="1:4" x14ac:dyDescent="0.3">
      <c r="A268" t="s">
        <v>1226</v>
      </c>
    </row>
    <row r="269" spans="1:4" x14ac:dyDescent="0.3">
      <c r="A269" t="s">
        <v>1227</v>
      </c>
    </row>
    <row r="270" spans="1:4" x14ac:dyDescent="0.3">
      <c r="A270" t="s">
        <v>1228</v>
      </c>
    </row>
  </sheetData>
  <sortState xmlns:xlrd2="http://schemas.microsoft.com/office/spreadsheetml/2017/richdata2" ref="G115:G118">
    <sortCondition descending="1" ref="G115:G118"/>
  </sortState>
  <mergeCells count="10">
    <mergeCell ref="A215:F215"/>
    <mergeCell ref="A90:F90"/>
    <mergeCell ref="A109:F109"/>
    <mergeCell ref="A130:F130"/>
    <mergeCell ref="A163:F163"/>
    <mergeCell ref="A1:F1"/>
    <mergeCell ref="A3:F3"/>
    <mergeCell ref="A21:F21"/>
    <mergeCell ref="A53:F53"/>
    <mergeCell ref="A64:F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A6E5-1E37-4A41-9CDC-A13AC74196C6}">
  <sheetPr codeName="Sheet6"/>
  <dimension ref="A1:H54"/>
  <sheetViews>
    <sheetView workbookViewId="0">
      <selection activeCell="B49" sqref="B49"/>
    </sheetView>
  </sheetViews>
  <sheetFormatPr defaultRowHeight="14.4" x14ac:dyDescent="0.3"/>
  <cols>
    <col min="1" max="1" width="33.33203125" customWidth="1"/>
    <col min="2" max="2" width="64.77734375" customWidth="1"/>
    <col min="3" max="3" width="37" customWidth="1"/>
    <col min="4" max="4" width="18.5546875" customWidth="1"/>
  </cols>
  <sheetData>
    <row r="1" spans="1:8" ht="34.950000000000003" customHeight="1" x14ac:dyDescent="0.4">
      <c r="A1" s="142" t="s">
        <v>219</v>
      </c>
      <c r="B1" s="128"/>
      <c r="C1" s="128"/>
      <c r="D1" s="128"/>
      <c r="E1" s="128"/>
      <c r="F1" s="128"/>
      <c r="G1" s="128"/>
      <c r="H1" s="128"/>
    </row>
    <row r="3" spans="1:8" ht="15.6" x14ac:dyDescent="0.3">
      <c r="A3" s="131" t="s">
        <v>220</v>
      </c>
      <c r="B3" s="128"/>
      <c r="C3" s="128"/>
      <c r="D3" s="128"/>
      <c r="E3" s="128"/>
      <c r="F3" s="128"/>
      <c r="G3" s="128"/>
      <c r="H3" s="128"/>
    </row>
    <row r="5" spans="1:8" x14ac:dyDescent="0.3">
      <c r="A5" s="1" t="s">
        <v>221</v>
      </c>
    </row>
    <row r="7" spans="1:8" x14ac:dyDescent="0.3">
      <c r="A7" s="1" t="s">
        <v>222</v>
      </c>
    </row>
    <row r="8" spans="1:8" x14ac:dyDescent="0.3">
      <c r="A8" t="s">
        <v>223</v>
      </c>
    </row>
    <row r="9" spans="1:8" x14ac:dyDescent="0.3">
      <c r="A9" t="s">
        <v>224</v>
      </c>
    </row>
    <row r="10" spans="1:8" x14ac:dyDescent="0.3">
      <c r="A10" t="s">
        <v>225</v>
      </c>
    </row>
    <row r="11" spans="1:8" x14ac:dyDescent="0.3">
      <c r="A11" t="s">
        <v>226</v>
      </c>
    </row>
    <row r="13" spans="1:8" x14ac:dyDescent="0.3">
      <c r="A13" s="1" t="s">
        <v>227</v>
      </c>
    </row>
    <row r="14" spans="1:8" x14ac:dyDescent="0.3">
      <c r="A14" t="s">
        <v>228</v>
      </c>
    </row>
    <row r="15" spans="1:8" x14ac:dyDescent="0.3">
      <c r="A15" t="s">
        <v>229</v>
      </c>
    </row>
    <row r="16" spans="1:8" x14ac:dyDescent="0.3">
      <c r="A16" t="s">
        <v>230</v>
      </c>
    </row>
    <row r="17" spans="1:8" x14ac:dyDescent="0.3">
      <c r="A17" t="s">
        <v>231</v>
      </c>
    </row>
    <row r="19" spans="1:8" x14ac:dyDescent="0.3">
      <c r="A19" s="1" t="s">
        <v>232</v>
      </c>
    </row>
    <row r="20" spans="1:8" x14ac:dyDescent="0.3">
      <c r="A20" t="s">
        <v>233</v>
      </c>
    </row>
    <row r="21" spans="1:8" x14ac:dyDescent="0.3">
      <c r="A21" t="s">
        <v>234</v>
      </c>
    </row>
    <row r="22" spans="1:8" x14ac:dyDescent="0.3">
      <c r="A22" t="s">
        <v>235</v>
      </c>
    </row>
    <row r="23" spans="1:8" x14ac:dyDescent="0.3">
      <c r="A23" t="s">
        <v>236</v>
      </c>
    </row>
    <row r="25" spans="1:8" ht="15.6" x14ac:dyDescent="0.3">
      <c r="A25" s="131" t="s">
        <v>237</v>
      </c>
      <c r="B25" s="128"/>
      <c r="C25" s="128"/>
      <c r="D25" s="128"/>
      <c r="E25" s="128"/>
      <c r="F25" s="128"/>
      <c r="G25" s="128"/>
      <c r="H25" s="128"/>
    </row>
    <row r="27" spans="1:8" x14ac:dyDescent="0.3">
      <c r="A27" s="1" t="s">
        <v>238</v>
      </c>
    </row>
    <row r="29" spans="1:8" x14ac:dyDescent="0.3">
      <c r="A29" t="s">
        <v>239</v>
      </c>
    </row>
    <row r="31" spans="1:8" x14ac:dyDescent="0.3">
      <c r="A31" s="1" t="s">
        <v>240</v>
      </c>
    </row>
    <row r="32" spans="1:8" x14ac:dyDescent="0.3">
      <c r="A32" s="3" t="s">
        <v>241</v>
      </c>
      <c r="B32" s="3" t="s">
        <v>6</v>
      </c>
      <c r="C32" s="3" t="s">
        <v>242</v>
      </c>
    </row>
    <row r="33" spans="1:8" x14ac:dyDescent="0.3">
      <c r="A33" t="s">
        <v>243</v>
      </c>
      <c r="B33" t="s">
        <v>244</v>
      </c>
      <c r="C33" t="s">
        <v>245</v>
      </c>
    </row>
    <row r="34" spans="1:8" x14ac:dyDescent="0.3">
      <c r="A34" t="s">
        <v>246</v>
      </c>
      <c r="B34" t="s">
        <v>247</v>
      </c>
      <c r="C34" t="s">
        <v>248</v>
      </c>
    </row>
    <row r="35" spans="1:8" x14ac:dyDescent="0.3">
      <c r="A35" t="s">
        <v>249</v>
      </c>
      <c r="B35" t="s">
        <v>250</v>
      </c>
      <c r="C35" t="s">
        <v>251</v>
      </c>
    </row>
    <row r="36" spans="1:8" x14ac:dyDescent="0.3">
      <c r="A36" t="s">
        <v>252</v>
      </c>
      <c r="B36" t="s">
        <v>253</v>
      </c>
      <c r="C36" t="s">
        <v>254</v>
      </c>
    </row>
    <row r="37" spans="1:8" x14ac:dyDescent="0.3">
      <c r="A37" t="s">
        <v>255</v>
      </c>
      <c r="B37" t="s">
        <v>256</v>
      </c>
      <c r="C37" t="s">
        <v>257</v>
      </c>
    </row>
    <row r="38" spans="1:8" x14ac:dyDescent="0.3">
      <c r="A38" t="s">
        <v>258</v>
      </c>
      <c r="B38" t="s">
        <v>259</v>
      </c>
      <c r="C38" t="s">
        <v>260</v>
      </c>
    </row>
    <row r="39" spans="1:8" x14ac:dyDescent="0.3">
      <c r="A39" t="s">
        <v>261</v>
      </c>
      <c r="B39" t="s">
        <v>262</v>
      </c>
      <c r="C39" t="s">
        <v>263</v>
      </c>
    </row>
    <row r="41" spans="1:8" ht="15.6" x14ac:dyDescent="0.3">
      <c r="A41" s="131" t="s">
        <v>264</v>
      </c>
      <c r="B41" s="128"/>
      <c r="C41" s="128"/>
      <c r="D41" s="128"/>
      <c r="E41" s="128"/>
      <c r="F41" s="128"/>
      <c r="G41" s="128"/>
      <c r="H41" s="128"/>
    </row>
    <row r="43" spans="1:8" x14ac:dyDescent="0.3">
      <c r="A43" s="1" t="s">
        <v>265</v>
      </c>
      <c r="D43" s="1" t="s">
        <v>281</v>
      </c>
    </row>
    <row r="44" spans="1:8" x14ac:dyDescent="0.3">
      <c r="D44" s="5" t="s">
        <v>282</v>
      </c>
    </row>
    <row r="45" spans="1:8" x14ac:dyDescent="0.3">
      <c r="A45" t="s">
        <v>266</v>
      </c>
      <c r="D45">
        <v>95</v>
      </c>
    </row>
    <row r="46" spans="1:8" x14ac:dyDescent="0.3">
      <c r="D46">
        <v>78</v>
      </c>
    </row>
    <row r="47" spans="1:8" x14ac:dyDescent="0.3">
      <c r="A47" s="1" t="s">
        <v>267</v>
      </c>
      <c r="D47">
        <v>62</v>
      </c>
    </row>
    <row r="48" spans="1:8" x14ac:dyDescent="0.3">
      <c r="A48" s="3" t="s">
        <v>268</v>
      </c>
      <c r="B48" s="3" t="s">
        <v>6</v>
      </c>
      <c r="D48">
        <v>88</v>
      </c>
    </row>
    <row r="49" spans="1:4" x14ac:dyDescent="0.3">
      <c r="A49" t="s">
        <v>269</v>
      </c>
      <c r="B49" t="s">
        <v>270</v>
      </c>
      <c r="D49">
        <v>45</v>
      </c>
    </row>
    <row r="50" spans="1:4" x14ac:dyDescent="0.3">
      <c r="A50" t="s">
        <v>271</v>
      </c>
      <c r="B50" t="s">
        <v>272</v>
      </c>
      <c r="D50">
        <v>91</v>
      </c>
    </row>
    <row r="51" spans="1:4" x14ac:dyDescent="0.3">
      <c r="A51" t="s">
        <v>273</v>
      </c>
      <c r="B51" t="s">
        <v>274</v>
      </c>
    </row>
    <row r="52" spans="1:4" x14ac:dyDescent="0.3">
      <c r="A52" t="s">
        <v>275</v>
      </c>
      <c r="B52" t="s">
        <v>276</v>
      </c>
    </row>
    <row r="53" spans="1:4" x14ac:dyDescent="0.3">
      <c r="A53" t="s">
        <v>277</v>
      </c>
      <c r="B53" t="s">
        <v>278</v>
      </c>
    </row>
    <row r="54" spans="1:4" x14ac:dyDescent="0.3">
      <c r="A54" t="s">
        <v>279</v>
      </c>
      <c r="B54" t="s">
        <v>280</v>
      </c>
    </row>
  </sheetData>
  <mergeCells count="4">
    <mergeCell ref="A1:H1"/>
    <mergeCell ref="A3:H3"/>
    <mergeCell ref="A25:H25"/>
    <mergeCell ref="A41:H41"/>
  </mergeCells>
  <conditionalFormatting sqref="D45:D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8B3A-C1AF-4D89-A83B-45F13CBAD8E9}">
  <sheetPr codeName="Sheet7"/>
  <dimension ref="A1:H163"/>
  <sheetViews>
    <sheetView topLeftCell="A141" zoomScale="85" zoomScaleNormal="85" workbookViewId="0">
      <selection activeCell="B128" sqref="B128"/>
    </sheetView>
  </sheetViews>
  <sheetFormatPr defaultRowHeight="14.4" x14ac:dyDescent="0.3"/>
  <cols>
    <col min="1" max="1" width="37" customWidth="1"/>
    <col min="2" max="2" width="51.88671875" customWidth="1"/>
    <col min="3" max="3" width="46.33203125" customWidth="1"/>
    <col min="4" max="4" width="22.21875" customWidth="1"/>
  </cols>
  <sheetData>
    <row r="1" spans="1:8" ht="34.950000000000003" customHeight="1" x14ac:dyDescent="0.45">
      <c r="A1" s="147" t="s">
        <v>964</v>
      </c>
      <c r="B1" s="148"/>
      <c r="C1" s="148"/>
      <c r="D1" s="148"/>
      <c r="E1" s="148"/>
      <c r="F1" s="148"/>
      <c r="G1" s="148"/>
      <c r="H1" s="148"/>
    </row>
    <row r="2" spans="1:8" x14ac:dyDescent="0.3">
      <c r="A2" s="149" t="s">
        <v>965</v>
      </c>
      <c r="B2" s="150"/>
      <c r="C2" s="150"/>
      <c r="D2" s="150"/>
      <c r="E2" s="150"/>
      <c r="F2" s="150"/>
      <c r="G2" s="150"/>
      <c r="H2" s="150"/>
    </row>
    <row r="4" spans="1:8" ht="18" x14ac:dyDescent="0.35">
      <c r="A4" s="151" t="s">
        <v>966</v>
      </c>
      <c r="B4" s="152"/>
      <c r="C4" s="152"/>
      <c r="D4" s="152"/>
      <c r="E4" s="152"/>
      <c r="F4" s="152"/>
      <c r="G4" s="152"/>
      <c r="H4" s="152"/>
    </row>
    <row r="6" spans="1:8" x14ac:dyDescent="0.3">
      <c r="A6" s="1" t="s">
        <v>967</v>
      </c>
    </row>
    <row r="7" spans="1:8" x14ac:dyDescent="0.3">
      <c r="A7" t="s">
        <v>968</v>
      </c>
    </row>
    <row r="8" spans="1:8" x14ac:dyDescent="0.3">
      <c r="A8" t="s">
        <v>969</v>
      </c>
    </row>
    <row r="9" spans="1:8" x14ac:dyDescent="0.3">
      <c r="A9" t="s">
        <v>970</v>
      </c>
    </row>
    <row r="10" spans="1:8" x14ac:dyDescent="0.3">
      <c r="A10" t="s">
        <v>971</v>
      </c>
    </row>
    <row r="11" spans="1:8" x14ac:dyDescent="0.3">
      <c r="A11" t="s">
        <v>972</v>
      </c>
    </row>
    <row r="13" spans="1:8" x14ac:dyDescent="0.3">
      <c r="A13" s="97" t="s">
        <v>973</v>
      </c>
    </row>
    <row r="15" spans="1:8" ht="18" x14ac:dyDescent="0.35">
      <c r="A15" s="151" t="s">
        <v>974</v>
      </c>
      <c r="B15" s="152"/>
      <c r="C15" s="152"/>
      <c r="D15" s="152"/>
      <c r="E15" s="152"/>
      <c r="F15" s="152"/>
      <c r="G15" s="152"/>
      <c r="H15" s="152"/>
    </row>
    <row r="17" spans="1:8" x14ac:dyDescent="0.3">
      <c r="A17" s="99" t="s">
        <v>241</v>
      </c>
      <c r="B17" s="99" t="s">
        <v>6</v>
      </c>
      <c r="C17" s="99" t="s">
        <v>975</v>
      </c>
      <c r="D17" s="99" t="s">
        <v>171</v>
      </c>
    </row>
    <row r="18" spans="1:8" x14ac:dyDescent="0.3">
      <c r="A18" s="17" t="s">
        <v>243</v>
      </c>
      <c r="B18" s="17" t="s">
        <v>976</v>
      </c>
      <c r="C18" s="17" t="s">
        <v>977</v>
      </c>
      <c r="D18" s="17" t="s">
        <v>978</v>
      </c>
    </row>
    <row r="19" spans="1:8" x14ac:dyDescent="0.3">
      <c r="A19" s="17" t="s">
        <v>246</v>
      </c>
      <c r="B19" s="17" t="s">
        <v>979</v>
      </c>
      <c r="C19" s="17" t="s">
        <v>980</v>
      </c>
      <c r="D19" s="17" t="s">
        <v>981</v>
      </c>
    </row>
    <row r="20" spans="1:8" x14ac:dyDescent="0.3">
      <c r="A20" s="17" t="s">
        <v>249</v>
      </c>
      <c r="B20" s="17" t="s">
        <v>982</v>
      </c>
      <c r="C20" s="17" t="s">
        <v>983</v>
      </c>
      <c r="D20" s="17" t="s">
        <v>984</v>
      </c>
    </row>
    <row r="21" spans="1:8" x14ac:dyDescent="0.3">
      <c r="A21" s="17" t="s">
        <v>252</v>
      </c>
      <c r="B21" s="17" t="s">
        <v>985</v>
      </c>
      <c r="C21" s="17" t="s">
        <v>986</v>
      </c>
      <c r="D21" s="17" t="s">
        <v>987</v>
      </c>
    </row>
    <row r="22" spans="1:8" x14ac:dyDescent="0.3">
      <c r="A22" s="17" t="s">
        <v>255</v>
      </c>
      <c r="B22" s="17" t="s">
        <v>988</v>
      </c>
      <c r="C22" s="17" t="s">
        <v>989</v>
      </c>
      <c r="D22" s="17" t="s">
        <v>990</v>
      </c>
    </row>
    <row r="23" spans="1:8" x14ac:dyDescent="0.3">
      <c r="A23" s="17" t="s">
        <v>258</v>
      </c>
      <c r="B23" s="17" t="s">
        <v>259</v>
      </c>
      <c r="C23" s="17" t="s">
        <v>991</v>
      </c>
      <c r="D23" s="17" t="s">
        <v>992</v>
      </c>
    </row>
    <row r="24" spans="1:8" x14ac:dyDescent="0.3">
      <c r="A24" s="17" t="s">
        <v>261</v>
      </c>
      <c r="B24" s="17" t="s">
        <v>993</v>
      </c>
      <c r="C24" s="17" t="s">
        <v>994</v>
      </c>
      <c r="D24" s="17" t="b">
        <f>A1&gt;B1</f>
        <v>1</v>
      </c>
    </row>
    <row r="26" spans="1:8" ht="15.6" x14ac:dyDescent="0.3">
      <c r="A26" s="153" t="s">
        <v>995</v>
      </c>
      <c r="B26" s="154"/>
      <c r="C26" s="154"/>
      <c r="D26" s="154"/>
      <c r="E26" s="154"/>
      <c r="F26" s="154"/>
      <c r="G26" s="154"/>
      <c r="H26" s="154"/>
    </row>
    <row r="28" spans="1:8" x14ac:dyDescent="0.3">
      <c r="A28" s="23" t="s">
        <v>996</v>
      </c>
    </row>
    <row r="30" spans="1:8" x14ac:dyDescent="0.3">
      <c r="A30" s="1" t="s">
        <v>997</v>
      </c>
      <c r="C30" s="1" t="s">
        <v>999</v>
      </c>
      <c r="D30" s="103"/>
    </row>
    <row r="31" spans="1:8" x14ac:dyDescent="0.3">
      <c r="A31" s="100" t="s">
        <v>59</v>
      </c>
    </row>
    <row r="32" spans="1:8" x14ac:dyDescent="0.3">
      <c r="A32" s="101" t="s">
        <v>90</v>
      </c>
      <c r="C32" s="1" t="s">
        <v>1000</v>
      </c>
    </row>
    <row r="33" spans="1:8" x14ac:dyDescent="0.3">
      <c r="A33" s="101" t="s">
        <v>93</v>
      </c>
      <c r="C33" t="s">
        <v>1001</v>
      </c>
    </row>
    <row r="34" spans="1:8" x14ac:dyDescent="0.3">
      <c r="A34" s="101" t="s">
        <v>96</v>
      </c>
      <c r="C34" s="1" t="s">
        <v>1002</v>
      </c>
    </row>
    <row r="35" spans="1:8" x14ac:dyDescent="0.3">
      <c r="A35" s="101" t="s">
        <v>99</v>
      </c>
      <c r="C35" t="s">
        <v>1003</v>
      </c>
    </row>
    <row r="36" spans="1:8" x14ac:dyDescent="0.3">
      <c r="A36" s="102" t="s">
        <v>998</v>
      </c>
      <c r="C36" s="1" t="s">
        <v>1004</v>
      </c>
    </row>
    <row r="37" spans="1:8" x14ac:dyDescent="0.3">
      <c r="C37" t="s">
        <v>1005</v>
      </c>
    </row>
    <row r="39" spans="1:8" ht="15.6" x14ac:dyDescent="0.3">
      <c r="A39" s="153" t="s">
        <v>1006</v>
      </c>
      <c r="B39" s="154"/>
      <c r="C39" s="154"/>
      <c r="D39" s="154"/>
      <c r="E39" s="154"/>
      <c r="F39" s="154"/>
      <c r="G39" s="154"/>
      <c r="H39" s="154"/>
    </row>
    <row r="41" spans="1:8" x14ac:dyDescent="0.3">
      <c r="A41" s="23" t="s">
        <v>1007</v>
      </c>
    </row>
    <row r="43" spans="1:8" x14ac:dyDescent="0.3">
      <c r="A43" s="1" t="s">
        <v>1008</v>
      </c>
      <c r="B43" s="103"/>
      <c r="D43" s="104" t="s">
        <v>1009</v>
      </c>
    </row>
    <row r="45" spans="1:8" x14ac:dyDescent="0.3">
      <c r="A45" s="1" t="s">
        <v>1010</v>
      </c>
      <c r="B45" s="103"/>
      <c r="D45" s="104" t="s">
        <v>1011</v>
      </c>
    </row>
    <row r="48" spans="1:8" ht="15.6" x14ac:dyDescent="0.3">
      <c r="A48" s="153" t="s">
        <v>1012</v>
      </c>
      <c r="B48" s="154"/>
      <c r="C48" s="154"/>
      <c r="D48" s="154"/>
      <c r="E48" s="154"/>
      <c r="F48" s="154"/>
      <c r="G48" s="154"/>
      <c r="H48" s="154"/>
    </row>
    <row r="50" spans="1:8" x14ac:dyDescent="0.3">
      <c r="A50" s="23" t="s">
        <v>1013</v>
      </c>
    </row>
    <row r="52" spans="1:8" x14ac:dyDescent="0.3">
      <c r="A52" s="1" t="s">
        <v>1014</v>
      </c>
      <c r="B52" s="103"/>
      <c r="D52" s="104" t="s">
        <v>1015</v>
      </c>
    </row>
    <row r="55" spans="1:8" ht="15.6" x14ac:dyDescent="0.3">
      <c r="A55" s="153" t="s">
        <v>1016</v>
      </c>
      <c r="B55" s="154"/>
      <c r="C55" s="154"/>
      <c r="D55" s="154"/>
      <c r="E55" s="154"/>
      <c r="F55" s="154"/>
      <c r="G55" s="154"/>
      <c r="H55" s="154"/>
    </row>
    <row r="57" spans="1:8" x14ac:dyDescent="0.3">
      <c r="A57" s="23" t="s">
        <v>1017</v>
      </c>
    </row>
    <row r="59" spans="1:8" x14ac:dyDescent="0.3">
      <c r="A59" s="1" t="s">
        <v>1018</v>
      </c>
      <c r="B59" s="103"/>
      <c r="D59" s="104" t="s">
        <v>1019</v>
      </c>
    </row>
    <row r="61" spans="1:8" x14ac:dyDescent="0.3">
      <c r="A61" s="1" t="s">
        <v>1020</v>
      </c>
      <c r="B61" s="103"/>
      <c r="D61" s="104" t="s">
        <v>1021</v>
      </c>
    </row>
    <row r="64" spans="1:8" ht="15.6" x14ac:dyDescent="0.3">
      <c r="A64" s="153" t="s">
        <v>1022</v>
      </c>
      <c r="B64" s="154"/>
      <c r="C64" s="154"/>
      <c r="D64" s="154"/>
      <c r="E64" s="154"/>
      <c r="F64" s="154"/>
      <c r="G64" s="154"/>
      <c r="H64" s="154"/>
    </row>
    <row r="66" spans="1:8" x14ac:dyDescent="0.3">
      <c r="A66" s="23" t="s">
        <v>1023</v>
      </c>
    </row>
    <row r="68" spans="1:8" x14ac:dyDescent="0.3">
      <c r="A68" s="1" t="s">
        <v>1024</v>
      </c>
      <c r="B68" s="103"/>
      <c r="D68" s="104" t="s">
        <v>1025</v>
      </c>
    </row>
    <row r="70" spans="1:8" x14ac:dyDescent="0.3">
      <c r="A70" s="1" t="s">
        <v>1026</v>
      </c>
      <c r="B70" s="103"/>
      <c r="D70" s="104" t="s">
        <v>1027</v>
      </c>
    </row>
    <row r="73" spans="1:8" ht="15.6" x14ac:dyDescent="0.3">
      <c r="A73" s="155" t="s">
        <v>1028</v>
      </c>
      <c r="B73" s="156"/>
      <c r="C73" s="156"/>
      <c r="D73" s="156"/>
      <c r="E73" s="156"/>
      <c r="F73" s="156"/>
      <c r="G73" s="156"/>
      <c r="H73" s="156"/>
    </row>
    <row r="75" spans="1:8" x14ac:dyDescent="0.3">
      <c r="A75" s="23" t="s">
        <v>1029</v>
      </c>
    </row>
    <row r="77" spans="1:8" x14ac:dyDescent="0.3">
      <c r="A77" s="1" t="s">
        <v>1030</v>
      </c>
      <c r="B77" s="105"/>
      <c r="D77" s="104" t="s">
        <v>1031</v>
      </c>
    </row>
    <row r="79" spans="1:8" x14ac:dyDescent="0.3">
      <c r="A79" s="1" t="s">
        <v>1032</v>
      </c>
      <c r="B79" s="105"/>
      <c r="C79" s="1" t="s">
        <v>1033</v>
      </c>
      <c r="D79" s="105"/>
      <c r="E79" s="104" t="s">
        <v>1034</v>
      </c>
    </row>
    <row r="82" spans="1:8" ht="18" x14ac:dyDescent="0.35">
      <c r="A82" s="159" t="s">
        <v>1035</v>
      </c>
      <c r="B82" s="160"/>
      <c r="C82" s="160"/>
      <c r="D82" s="160"/>
      <c r="E82" s="160"/>
      <c r="F82" s="160"/>
      <c r="G82" s="160"/>
      <c r="H82" s="160"/>
    </row>
    <row r="84" spans="1:8" x14ac:dyDescent="0.3">
      <c r="A84" s="23" t="s">
        <v>1036</v>
      </c>
    </row>
    <row r="86" spans="1:8" x14ac:dyDescent="0.3">
      <c r="A86" s="106" t="s">
        <v>1037</v>
      </c>
      <c r="B86" s="106" t="s">
        <v>1038</v>
      </c>
      <c r="C86" s="106" t="s">
        <v>1039</v>
      </c>
      <c r="D86" s="106" t="s">
        <v>891</v>
      </c>
    </row>
    <row r="87" spans="1:8" x14ac:dyDescent="0.3">
      <c r="A87" s="17" t="s">
        <v>1040</v>
      </c>
      <c r="B87" s="17" t="s">
        <v>1041</v>
      </c>
      <c r="C87" s="17" t="s">
        <v>1042</v>
      </c>
      <c r="D87" s="17" t="s">
        <v>1043</v>
      </c>
    </row>
    <row r="88" spans="1:8" x14ac:dyDescent="0.3">
      <c r="A88" s="17" t="s">
        <v>1044</v>
      </c>
      <c r="B88" s="17" t="s">
        <v>1045</v>
      </c>
      <c r="C88" s="17" t="s">
        <v>1046</v>
      </c>
      <c r="D88" s="17" t="s">
        <v>1047</v>
      </c>
    </row>
    <row r="89" spans="1:8" x14ac:dyDescent="0.3">
      <c r="A89" s="17" t="s">
        <v>1048</v>
      </c>
      <c r="B89" s="17" t="s">
        <v>1049</v>
      </c>
      <c r="C89" s="17" t="s">
        <v>1050</v>
      </c>
      <c r="D89" s="17" t="s">
        <v>1051</v>
      </c>
    </row>
    <row r="92" spans="1:8" ht="18" x14ac:dyDescent="0.35">
      <c r="A92" s="161" t="s">
        <v>1052</v>
      </c>
      <c r="B92" s="162"/>
      <c r="C92" s="162"/>
      <c r="D92" s="162"/>
      <c r="E92" s="162"/>
      <c r="F92" s="162"/>
      <c r="G92" s="162"/>
      <c r="H92" s="162"/>
    </row>
    <row r="94" spans="1:8" x14ac:dyDescent="0.3">
      <c r="A94" s="23" t="s">
        <v>1053</v>
      </c>
    </row>
    <row r="96" spans="1:8" x14ac:dyDescent="0.3">
      <c r="A96" s="107" t="s">
        <v>1054</v>
      </c>
      <c r="B96" s="107" t="s">
        <v>1055</v>
      </c>
      <c r="C96" s="107" t="s">
        <v>1056</v>
      </c>
      <c r="D96" s="107" t="s">
        <v>571</v>
      </c>
    </row>
    <row r="97" spans="1:8" x14ac:dyDescent="0.3">
      <c r="A97" s="17" t="s">
        <v>1057</v>
      </c>
      <c r="B97" s="103"/>
      <c r="C97" s="17" t="s">
        <v>1058</v>
      </c>
      <c r="D97" s="17" t="str">
        <f>IF(B97="","⬜ Empty",IF(AND(LEN(B97)=6,LEFT(B97,3)="EMP"),"✅ Valid","❌ Invalid"))</f>
        <v>⬜ Empty</v>
      </c>
    </row>
    <row r="98" spans="1:8" x14ac:dyDescent="0.3">
      <c r="A98" s="17" t="s">
        <v>1059</v>
      </c>
      <c r="B98" s="103"/>
      <c r="C98" s="17" t="s">
        <v>1060</v>
      </c>
      <c r="D98" s="17" t="str">
        <f>IF(B98="","⬜ Empty",IF(AND(LEN(B98)&gt;=2,LEN(B98)&lt;=50),"✅ Valid","❌ Invalid"))</f>
        <v>⬜ Empty</v>
      </c>
    </row>
    <row r="99" spans="1:8" x14ac:dyDescent="0.3">
      <c r="A99" s="17" t="s">
        <v>84</v>
      </c>
      <c r="B99" s="103"/>
      <c r="C99" s="17" t="s">
        <v>1061</v>
      </c>
      <c r="D99" s="17" t="str">
        <f>IF(B99="","⬜ Empty","✅ Valid")</f>
        <v>⬜ Empty</v>
      </c>
    </row>
    <row r="100" spans="1:8" x14ac:dyDescent="0.3">
      <c r="A100" s="17" t="s">
        <v>1062</v>
      </c>
      <c r="B100" s="103"/>
      <c r="C100" s="17" t="s">
        <v>1063</v>
      </c>
      <c r="D100" s="17" t="str">
        <f ca="1">IF(B100="","⬜ Empty",IF(B100&lt;=TODAY(),"✅ Valid","❌ Invalid"))</f>
        <v>⬜ Empty</v>
      </c>
    </row>
    <row r="101" spans="1:8" x14ac:dyDescent="0.3">
      <c r="A101" s="17" t="s">
        <v>1064</v>
      </c>
      <c r="B101" s="103"/>
      <c r="C101" s="17" t="s">
        <v>1065</v>
      </c>
      <c r="D101" s="17" t="str">
        <f>IF(B101="","⬜ Empty",IF(AND(B101&gt;=20000,B101&lt;=150000),"✅ Valid","⚠️ Out of range"))</f>
        <v>⬜ Empty</v>
      </c>
    </row>
    <row r="102" spans="1:8" x14ac:dyDescent="0.3">
      <c r="A102" s="17" t="s">
        <v>1066</v>
      </c>
      <c r="B102" s="103"/>
      <c r="C102" s="17" t="s">
        <v>1067</v>
      </c>
      <c r="D102" s="17" t="str">
        <f>IF(B102="","⬜ Empty",IF(AND(B102&gt;=18,B102&lt;=70),"✅ Valid","❌ Invalid"))</f>
        <v>⬜ Empty</v>
      </c>
    </row>
    <row r="103" spans="1:8" x14ac:dyDescent="0.3">
      <c r="A103" s="17" t="s">
        <v>1068</v>
      </c>
      <c r="B103" s="103"/>
      <c r="C103" s="17" t="s">
        <v>1069</v>
      </c>
      <c r="D103" s="17" t="str">
        <f>IF(B103="","⬜ Empty",IF(ISNUMBER(FIND("@",B103)),"✅ Valid","❌ Invalid"))</f>
        <v>⬜ Empty</v>
      </c>
    </row>
    <row r="106" spans="1:8" ht="18" x14ac:dyDescent="0.35">
      <c r="A106" s="163" t="s">
        <v>1070</v>
      </c>
      <c r="B106" s="164"/>
      <c r="C106" s="164"/>
      <c r="D106" s="164"/>
      <c r="E106" s="164"/>
      <c r="F106" s="164"/>
      <c r="G106" s="164"/>
      <c r="H106" s="164"/>
    </row>
    <row r="109" spans="1:8" x14ac:dyDescent="0.3">
      <c r="A109" t="s">
        <v>1071</v>
      </c>
    </row>
    <row r="110" spans="1:8" x14ac:dyDescent="0.3">
      <c r="A110" t="s">
        <v>1072</v>
      </c>
    </row>
    <row r="111" spans="1:8" x14ac:dyDescent="0.3">
      <c r="A111" t="s">
        <v>1073</v>
      </c>
    </row>
    <row r="112" spans="1:8" x14ac:dyDescent="0.3">
      <c r="A112" t="s">
        <v>1074</v>
      </c>
    </row>
    <row r="113" spans="1:8" x14ac:dyDescent="0.3">
      <c r="A113" t="s">
        <v>1075</v>
      </c>
    </row>
    <row r="114" spans="1:8" x14ac:dyDescent="0.3">
      <c r="A114" t="s">
        <v>1076</v>
      </c>
    </row>
    <row r="115" spans="1:8" x14ac:dyDescent="0.3">
      <c r="A115" t="s">
        <v>1077</v>
      </c>
    </row>
    <row r="116" spans="1:8" x14ac:dyDescent="0.3">
      <c r="A116" t="s">
        <v>1078</v>
      </c>
    </row>
    <row r="118" spans="1:8" ht="18" x14ac:dyDescent="0.35">
      <c r="A118" s="165" t="s">
        <v>1079</v>
      </c>
      <c r="B118" s="166"/>
      <c r="C118" s="166"/>
      <c r="D118" s="166"/>
      <c r="E118" s="166"/>
      <c r="F118" s="166"/>
      <c r="G118" s="166"/>
      <c r="H118" s="166"/>
    </row>
    <row r="120" spans="1:8" x14ac:dyDescent="0.3">
      <c r="A120" s="95" t="s">
        <v>1080</v>
      </c>
      <c r="B120" s="95" t="s">
        <v>279</v>
      </c>
      <c r="C120" s="95" t="s">
        <v>815</v>
      </c>
    </row>
    <row r="121" spans="1:8" x14ac:dyDescent="0.3">
      <c r="A121" s="17" t="s">
        <v>1081</v>
      </c>
      <c r="B121" s="17" t="b">
        <f>EXACT(A1,UPPER(A1))</f>
        <v>1</v>
      </c>
      <c r="C121" s="17" t="s">
        <v>1082</v>
      </c>
    </row>
    <row r="122" spans="1:8" x14ac:dyDescent="0.3">
      <c r="A122" s="17" t="s">
        <v>1083</v>
      </c>
      <c r="B122" s="17" t="b">
        <f>COUNTIF($A:$A,A1)=1</f>
        <v>1</v>
      </c>
      <c r="C122" s="17" t="s">
        <v>1084</v>
      </c>
    </row>
    <row r="123" spans="1:8" x14ac:dyDescent="0.3">
      <c r="A123" s="17" t="s">
        <v>1085</v>
      </c>
      <c r="B123" s="17" t="b">
        <f>ISNUMBER(FIND(LEFT(A1,1),"ABCDEFGHIJKLMNOPQRSTUVWXYZ"))</f>
        <v>0</v>
      </c>
      <c r="C123" s="17" t="s">
        <v>1086</v>
      </c>
    </row>
    <row r="124" spans="1:8" x14ac:dyDescent="0.3">
      <c r="A124" s="17" t="s">
        <v>1087</v>
      </c>
      <c r="B124" s="17" t="b">
        <f>AND(LEN(A1)=11,ISNUMBER(A1*1))</f>
        <v>0</v>
      </c>
      <c r="C124" s="17" t="s">
        <v>1088</v>
      </c>
    </row>
    <row r="125" spans="1:8" x14ac:dyDescent="0.3">
      <c r="A125" s="17" t="s">
        <v>1089</v>
      </c>
      <c r="B125" s="17" t="b">
        <f>AND(A1&gt;=0,A1&lt;=1)</f>
        <v>0</v>
      </c>
      <c r="C125" s="17" t="s">
        <v>1090</v>
      </c>
    </row>
    <row r="126" spans="1:8" x14ac:dyDescent="0.3">
      <c r="A126" s="17" t="s">
        <v>1091</v>
      </c>
      <c r="B126" s="17" t="b">
        <f>LEN(A1)=LEN(SUBSTITUTE(A1," ",""))</f>
        <v>0</v>
      </c>
      <c r="C126" s="17" t="s">
        <v>1092</v>
      </c>
    </row>
    <row r="127" spans="1:8" x14ac:dyDescent="0.3">
      <c r="A127" s="17" t="s">
        <v>1093</v>
      </c>
      <c r="B127" s="17" t="b">
        <f>A1&gt;0</f>
        <v>1</v>
      </c>
      <c r="C127" s="17" t="s">
        <v>1094</v>
      </c>
    </row>
    <row r="128" spans="1:8" x14ac:dyDescent="0.3">
      <c r="A128" s="17" t="s">
        <v>1095</v>
      </c>
      <c r="B128" s="17" t="e">
        <f ca="1">COUNTIF(INDIRECT(B1),C1)&gt;0</f>
        <v>#REF!</v>
      </c>
      <c r="C128" s="17" t="s">
        <v>1096</v>
      </c>
    </row>
    <row r="131" spans="1:8" ht="18" x14ac:dyDescent="0.35">
      <c r="A131" s="167" t="s">
        <v>1097</v>
      </c>
      <c r="B131" s="168"/>
      <c r="C131" s="168"/>
      <c r="D131" s="168"/>
      <c r="E131" s="168"/>
      <c r="F131" s="168"/>
      <c r="G131" s="168"/>
      <c r="H131" s="168"/>
    </row>
    <row r="133" spans="1:8" x14ac:dyDescent="0.3">
      <c r="A133" s="23" t="s">
        <v>1098</v>
      </c>
    </row>
    <row r="135" spans="1:8" x14ac:dyDescent="0.3">
      <c r="A135" s="1" t="s">
        <v>1099</v>
      </c>
      <c r="B135" s="103"/>
    </row>
    <row r="137" spans="1:8" x14ac:dyDescent="0.3">
      <c r="A137" s="1" t="s">
        <v>1100</v>
      </c>
      <c r="B137" s="103"/>
    </row>
    <row r="139" spans="1:8" x14ac:dyDescent="0.3">
      <c r="A139" s="1" t="s">
        <v>1101</v>
      </c>
      <c r="B139" s="103"/>
    </row>
    <row r="141" spans="1:8" x14ac:dyDescent="0.3">
      <c r="A141" s="1" t="s">
        <v>1102</v>
      </c>
      <c r="B141" s="103"/>
    </row>
    <row r="143" spans="1:8" x14ac:dyDescent="0.3">
      <c r="A143" s="1" t="s">
        <v>1103</v>
      </c>
      <c r="B143" s="103"/>
    </row>
    <row r="146" spans="1:8" x14ac:dyDescent="0.3">
      <c r="A146" s="108" t="s">
        <v>1104</v>
      </c>
    </row>
    <row r="147" spans="1:8" x14ac:dyDescent="0.3">
      <c r="A147" s="109" t="s">
        <v>1105</v>
      </c>
    </row>
    <row r="148" spans="1:8" x14ac:dyDescent="0.3">
      <c r="A148" s="109" t="s">
        <v>1106</v>
      </c>
    </row>
    <row r="149" spans="1:8" x14ac:dyDescent="0.3">
      <c r="A149" s="109" t="s">
        <v>1107</v>
      </c>
    </row>
    <row r="150" spans="1:8" x14ac:dyDescent="0.3">
      <c r="A150" s="109" t="s">
        <v>1108</v>
      </c>
    </row>
    <row r="151" spans="1:8" x14ac:dyDescent="0.3">
      <c r="A151" s="109" t="s">
        <v>1109</v>
      </c>
    </row>
    <row r="154" spans="1:8" ht="18" x14ac:dyDescent="0.35">
      <c r="A154" s="157" t="s">
        <v>1110</v>
      </c>
      <c r="B154" s="158"/>
      <c r="C154" s="158"/>
      <c r="D154" s="158"/>
      <c r="E154" s="158"/>
      <c r="F154" s="158"/>
      <c r="G154" s="158"/>
      <c r="H154" s="158"/>
    </row>
    <row r="156" spans="1:8" x14ac:dyDescent="0.3">
      <c r="A156" t="s">
        <v>1111</v>
      </c>
    </row>
    <row r="157" spans="1:8" x14ac:dyDescent="0.3">
      <c r="A157" t="s">
        <v>1112</v>
      </c>
    </row>
    <row r="158" spans="1:8" x14ac:dyDescent="0.3">
      <c r="A158" t="s">
        <v>1113</v>
      </c>
    </row>
    <row r="159" spans="1:8" x14ac:dyDescent="0.3">
      <c r="A159" t="s">
        <v>1114</v>
      </c>
    </row>
    <row r="160" spans="1:8" x14ac:dyDescent="0.3">
      <c r="A160" t="s">
        <v>1115</v>
      </c>
    </row>
    <row r="161" spans="1:1" x14ac:dyDescent="0.3">
      <c r="A161" t="s">
        <v>1116</v>
      </c>
    </row>
    <row r="163" spans="1:1" ht="15.6" x14ac:dyDescent="0.3">
      <c r="A163" s="110" t="s">
        <v>1117</v>
      </c>
    </row>
  </sheetData>
  <mergeCells count="16">
    <mergeCell ref="A154:H154"/>
    <mergeCell ref="A82:H82"/>
    <mergeCell ref="A92:H92"/>
    <mergeCell ref="A106:H106"/>
    <mergeCell ref="A118:H118"/>
    <mergeCell ref="A131:H131"/>
    <mergeCell ref="A39:H39"/>
    <mergeCell ref="A48:H48"/>
    <mergeCell ref="A55:H55"/>
    <mergeCell ref="A64:H64"/>
    <mergeCell ref="A73:H73"/>
    <mergeCell ref="A1:H1"/>
    <mergeCell ref="A2:H2"/>
    <mergeCell ref="A4:H4"/>
    <mergeCell ref="A15:H15"/>
    <mergeCell ref="A26:H26"/>
  </mergeCells>
  <dataValidations count="17">
    <dataValidation type="list" allowBlank="1" showInputMessage="1" showErrorMessage="1" errorTitle="Invalid Entry" error="Please select a valid department from the list" promptTitle="Select Department" prompt="Choose a department from the dropdown list" sqref="D30" xr:uid="{A61856FC-6E4C-4D99-8A08-B1439370A17E}">
      <formula1>"Sales,Marketing,IT,HR,Finance,Operations"</formula1>
    </dataValidation>
    <dataValidation type="whole" allowBlank="1" showInputMessage="1" showErrorMessage="1" errorTitle="Invalid Age" error="Age must be a whole number between 1 and 100" promptTitle="Enter Age" prompt="Please enter a whole number between 1 and 100" sqref="B43" xr:uid="{42994B6B-407B-4841-BEDE-7E87760C50B9}">
      <formula1>1</formula1>
      <formula2>100</formula2>
    </dataValidation>
    <dataValidation type="whole" errorStyle="warning" allowBlank="1" showInputMessage="1" showErrorMessage="1" errorTitle="Check Quantity" error="Quantity should be between 1 and 500. Continue anyway?" promptTitle="Enter Quantity" prompt="Please enter quantity (1-500 units)" sqref="B45" xr:uid="{92F544D5-21A9-40E8-958E-51D685F27AEF}">
      <formula1>1</formula1>
      <formula2>500</formula2>
    </dataValidation>
    <dataValidation type="decimal" allowBlank="1" showInputMessage="1" showErrorMessage="1" errorTitle="Invalid Price" error="Price must be between £0.01 and £9,999.99" promptTitle="Enter Price" prompt="Enter a price between £0.01 and £9,999.99" sqref="B52" xr:uid="{411EBB53-A0B5-44BA-9663-D5D18DDDD59A}">
      <formula1>0.01</formula1>
      <formula2>9999.99</formula2>
    </dataValidation>
    <dataValidation type="date" operator="greaterThanOrEqual" allowBlank="1" showInputMessage="1" showErrorMessage="1" errorTitle="Invalid Date" error="Start date cannot be in the past!" promptTitle="Start Date" prompt="Enter today's date or a future date" sqref="B59" xr:uid="{6A6C5BBB-5214-4284-96DC-FBDAE47609C4}">
      <formula1>TODAY()</formula1>
    </dataValidation>
    <dataValidation type="date" allowBlank="1" showInputMessage="1" showErrorMessage="1" errorTitle="Invalid Date" error="End date must be within 30 days from today" promptTitle="End Date" prompt="Enter a date within the next 30 days" sqref="B61" xr:uid="{5AA2FF6F-090E-4E95-91AD-78949DA773F7}">
      <formula1>TODAY()</formula1>
      <formula2>TODAY()+30</formula2>
    </dataValidation>
    <dataValidation type="textLength" operator="equal" allowBlank="1" showInputMessage="1" showErrorMessage="1" errorTitle="Invalid Code" error="Product code must be exactly 5 characters" promptTitle="Product Code" prompt="Enter exactly 5 characters (e.g., ABC12)" sqref="B68" xr:uid="{267EB2D4-0EB3-49E1-BCED-592CD7584930}">
      <formula1>5</formula1>
    </dataValidation>
    <dataValidation type="textLength" allowBlank="1" showInputMessage="1" showErrorMessage="1" errorTitle="Too Long!" error="Description must be 50 characters or less" promptTitle="Description" prompt="Enter a brief description (1-50 characters)" sqref="B70" xr:uid="{8762A329-CE20-4591-BF9D-6730360BF342}">
      <formula1>1</formula1>
      <formula2>50</formula2>
    </dataValidation>
    <dataValidation type="custom" allowBlank="1" showInputMessage="1" showErrorMessage="1" errorTitle="Invalid Email" error="Email must contain @ symbol" promptTitle="Email Address" prompt="Enter a valid email address containing @" sqref="B77" xr:uid="{394495D0-10B2-4353-B87D-5D85B8080069}">
      <formula1>ISNUMBER(FIND("@",B77))</formula1>
    </dataValidation>
    <dataValidation type="custom" allowBlank="1" showInputMessage="1" showErrorMessage="1" errorTitle="Invalid End Date" error="End date must be AFTER the start date!" promptTitle="Project End Date" prompt="End date must be after Start date" sqref="D79" xr:uid="{4D8F56FF-F72C-4E62-AFBC-341DCCF2A773}">
      <formula1>D79&gt;B79</formula1>
    </dataValidation>
    <dataValidation type="custom" allowBlank="1" showInputMessage="1" showErrorMessage="1" errorTitle="Invalid Employee ID" error="Must be 6 characters: EMP + 3 digits (e.g., EMP001)" promptTitle="Employee ID" prompt="Format: EMP followed by 3 digits (e.g., EMP001)" sqref="B97" xr:uid="{09D2BAC0-2CEE-44E9-9949-D3E498088DC1}">
      <formula1>AND(LEN(B97)=6,LEFT(B97,3)="EMP")</formula1>
    </dataValidation>
    <dataValidation type="textLength" allowBlank="1" showInputMessage="1" showErrorMessage="1" promptTitle="Full Name" prompt="Enter full name (2-50 characters)" sqref="B98" xr:uid="{B1266D70-0C39-42A7-B537-351081D6DE91}">
      <formula1>2</formula1>
      <formula2>50</formula2>
    </dataValidation>
    <dataValidation type="list" allowBlank="1" showInputMessage="1" showErrorMessage="1" promptTitle="Department" prompt="Select department from dropdown" sqref="B99" xr:uid="{42DB7F4A-44DD-4244-A47F-1B5A1458BD9A}">
      <formula1>"Sales,Marketing,IT,HR,Finance,Operations"</formula1>
    </dataValidation>
    <dataValidation type="date" operator="lessThanOrEqual" allowBlank="1" showInputMessage="1" showErrorMessage="1" errorTitle="Invalid Date" error="Hire date cannot be in the future!" promptTitle="Hire Date" prompt="Enter hire date (cannot be in the future)" sqref="B100" xr:uid="{2496887E-4216-41E0-A22A-3247785FF1E3}">
      <formula1>TODAY()</formula1>
    </dataValidation>
    <dataValidation type="decimal" errorStyle="warning" allowBlank="1" showInputMessage="1" showErrorMessage="1" errorTitle="Salary Out of Range" error="Typical salary is £20,000-£150,000. Continue anyway?" promptTitle="Annual Salary" prompt="Enter salary between £20,000 and £150,000" sqref="B101" xr:uid="{35C5002F-8018-408C-B4B8-27ADE16D1B18}">
      <formula1>20000</formula1>
      <formula2>150000</formula2>
    </dataValidation>
    <dataValidation type="whole" allowBlank="1" showInputMessage="1" showErrorMessage="1" errorTitle="Invalid Age" error="Age must be between 18 and 70" promptTitle="Age" prompt="Enter age (18-70 years)" sqref="B102" xr:uid="{8078187F-6A49-44F1-BDB8-07AC47E48D83}">
      <formula1>18</formula1>
      <formula2>70</formula2>
    </dataValidation>
    <dataValidation type="custom" allowBlank="1" showInputMessage="1" showErrorMessage="1" errorTitle="Invalid Email" error="Email must contain @ symbol" promptTitle="Email" prompt="Enter valid email address" sqref="B103" xr:uid="{1667B613-43B3-431F-9189-89EF73605358}">
      <formula1>ISNUMBER(FIND("@",B103))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24FC-E863-4479-AE8F-728465536E02}">
  <sheetPr codeName="Sheet8"/>
  <dimension ref="A1:H63"/>
  <sheetViews>
    <sheetView topLeftCell="A47" workbookViewId="0">
      <selection sqref="A1:H1"/>
    </sheetView>
  </sheetViews>
  <sheetFormatPr defaultRowHeight="14.4" x14ac:dyDescent="0.3"/>
  <cols>
    <col min="1" max="1" width="55.5546875" customWidth="1"/>
    <col min="2" max="2" width="46.33203125" customWidth="1"/>
  </cols>
  <sheetData>
    <row r="1" spans="1:8" ht="34.950000000000003" customHeight="1" x14ac:dyDescent="0.4">
      <c r="A1" s="142" t="s">
        <v>283</v>
      </c>
      <c r="B1" s="128"/>
      <c r="C1" s="128"/>
      <c r="D1" s="128"/>
      <c r="E1" s="128"/>
      <c r="F1" s="128"/>
      <c r="G1" s="128"/>
      <c r="H1" s="128"/>
    </row>
    <row r="3" spans="1:8" ht="15.6" x14ac:dyDescent="0.3">
      <c r="A3" s="131" t="s">
        <v>284</v>
      </c>
      <c r="B3" s="128"/>
      <c r="C3" s="128"/>
      <c r="D3" s="128"/>
      <c r="E3" s="128"/>
      <c r="F3" s="128"/>
      <c r="G3" s="128"/>
      <c r="H3" s="128"/>
    </row>
    <row r="5" spans="1:8" x14ac:dyDescent="0.3">
      <c r="A5" s="1" t="s">
        <v>285</v>
      </c>
    </row>
    <row r="7" spans="1:8" x14ac:dyDescent="0.3">
      <c r="A7" s="1" t="s">
        <v>202</v>
      </c>
    </row>
    <row r="8" spans="1:8" x14ac:dyDescent="0.3">
      <c r="A8" t="s">
        <v>286</v>
      </c>
    </row>
    <row r="9" spans="1:8" x14ac:dyDescent="0.3">
      <c r="A9" t="s">
        <v>287</v>
      </c>
    </row>
    <row r="10" spans="1:8" x14ac:dyDescent="0.3">
      <c r="A10" t="s">
        <v>288</v>
      </c>
    </row>
    <row r="12" spans="1:8" x14ac:dyDescent="0.3">
      <c r="A12" s="1" t="s">
        <v>289</v>
      </c>
    </row>
    <row r="13" spans="1:8" x14ac:dyDescent="0.3">
      <c r="A13" t="s">
        <v>290</v>
      </c>
    </row>
    <row r="14" spans="1:8" x14ac:dyDescent="0.3">
      <c r="A14" t="s">
        <v>291</v>
      </c>
    </row>
    <row r="15" spans="1:8" x14ac:dyDescent="0.3">
      <c r="A15" t="s">
        <v>292</v>
      </c>
    </row>
    <row r="17" spans="1:8" x14ac:dyDescent="0.3">
      <c r="A17" s="1" t="s">
        <v>293</v>
      </c>
    </row>
    <row r="18" spans="1:8" x14ac:dyDescent="0.3">
      <c r="A18" t="s">
        <v>294</v>
      </c>
    </row>
    <row r="19" spans="1:8" x14ac:dyDescent="0.3">
      <c r="A19" t="s">
        <v>295</v>
      </c>
    </row>
    <row r="20" spans="1:8" x14ac:dyDescent="0.3">
      <c r="A20" t="s">
        <v>296</v>
      </c>
    </row>
    <row r="21" spans="1:8" x14ac:dyDescent="0.3">
      <c r="A21" t="s">
        <v>297</v>
      </c>
    </row>
    <row r="23" spans="1:8" ht="15.6" x14ac:dyDescent="0.3">
      <c r="A23" s="131" t="s">
        <v>298</v>
      </c>
      <c r="B23" s="128"/>
      <c r="C23" s="128"/>
      <c r="D23" s="128"/>
      <c r="E23" s="128"/>
      <c r="F23" s="128"/>
      <c r="G23" s="128"/>
      <c r="H23" s="128"/>
    </row>
    <row r="25" spans="1:8" x14ac:dyDescent="0.3">
      <c r="A25" s="1" t="s">
        <v>299</v>
      </c>
    </row>
    <row r="27" spans="1:8" x14ac:dyDescent="0.3">
      <c r="A27" s="1" t="s">
        <v>202</v>
      </c>
    </row>
    <row r="28" spans="1:8" x14ac:dyDescent="0.3">
      <c r="A28" t="s">
        <v>300</v>
      </c>
    </row>
    <row r="29" spans="1:8" x14ac:dyDescent="0.3">
      <c r="A29" t="s">
        <v>301</v>
      </c>
    </row>
    <row r="30" spans="1:8" x14ac:dyDescent="0.3">
      <c r="A30" t="s">
        <v>302</v>
      </c>
    </row>
    <row r="31" spans="1:8" x14ac:dyDescent="0.3">
      <c r="A31" t="s">
        <v>303</v>
      </c>
    </row>
    <row r="32" spans="1:8" x14ac:dyDescent="0.3">
      <c r="A32" t="s">
        <v>304</v>
      </c>
    </row>
    <row r="34" spans="1:8" x14ac:dyDescent="0.3">
      <c r="A34" s="1" t="s">
        <v>305</v>
      </c>
    </row>
    <row r="35" spans="1:8" x14ac:dyDescent="0.3">
      <c r="A35" t="s">
        <v>306</v>
      </c>
    </row>
    <row r="36" spans="1:8" x14ac:dyDescent="0.3">
      <c r="A36" t="s">
        <v>307</v>
      </c>
    </row>
    <row r="37" spans="1:8" x14ac:dyDescent="0.3">
      <c r="A37" t="s">
        <v>308</v>
      </c>
    </row>
    <row r="38" spans="1:8" x14ac:dyDescent="0.3">
      <c r="A38" t="s">
        <v>309</v>
      </c>
    </row>
    <row r="40" spans="1:8" ht="15.6" x14ac:dyDescent="0.3">
      <c r="A40" s="131" t="s">
        <v>310</v>
      </c>
      <c r="B40" s="128"/>
      <c r="C40" s="128"/>
      <c r="D40" s="128"/>
      <c r="E40" s="128"/>
      <c r="F40" s="128"/>
      <c r="G40" s="128"/>
      <c r="H40" s="128"/>
    </row>
    <row r="42" spans="1:8" x14ac:dyDescent="0.3">
      <c r="A42" s="1" t="s">
        <v>311</v>
      </c>
    </row>
    <row r="43" spans="1:8" x14ac:dyDescent="0.3">
      <c r="A43" t="s">
        <v>312</v>
      </c>
    </row>
    <row r="45" spans="1:8" x14ac:dyDescent="0.3">
      <c r="A45" s="1" t="s">
        <v>313</v>
      </c>
    </row>
    <row r="46" spans="1:8" x14ac:dyDescent="0.3">
      <c r="A46" t="s">
        <v>314</v>
      </c>
    </row>
    <row r="47" spans="1:8" x14ac:dyDescent="0.3">
      <c r="A47" t="s">
        <v>315</v>
      </c>
    </row>
    <row r="48" spans="1:8" x14ac:dyDescent="0.3">
      <c r="A48" t="s">
        <v>316</v>
      </c>
    </row>
    <row r="49" spans="1:2" x14ac:dyDescent="0.3">
      <c r="A49" t="s">
        <v>317</v>
      </c>
    </row>
    <row r="50" spans="1:2" x14ac:dyDescent="0.3">
      <c r="A50" t="s">
        <v>318</v>
      </c>
    </row>
    <row r="51" spans="1:2" x14ac:dyDescent="0.3">
      <c r="A51" t="s">
        <v>319</v>
      </c>
    </row>
    <row r="52" spans="1:2" x14ac:dyDescent="0.3">
      <c r="A52" t="s">
        <v>320</v>
      </c>
    </row>
    <row r="54" spans="1:2" x14ac:dyDescent="0.3">
      <c r="A54" s="1" t="s">
        <v>321</v>
      </c>
    </row>
    <row r="55" spans="1:2" x14ac:dyDescent="0.3">
      <c r="A55" s="3" t="s">
        <v>322</v>
      </c>
      <c r="B55" s="3" t="s">
        <v>6</v>
      </c>
    </row>
    <row r="56" spans="1:2" x14ac:dyDescent="0.3">
      <c r="A56" t="s">
        <v>323</v>
      </c>
      <c r="B56" t="s">
        <v>324</v>
      </c>
    </row>
    <row r="57" spans="1:2" x14ac:dyDescent="0.3">
      <c r="A57" t="s">
        <v>325</v>
      </c>
      <c r="B57" t="s">
        <v>326</v>
      </c>
    </row>
    <row r="58" spans="1:2" x14ac:dyDescent="0.3">
      <c r="A58" t="s">
        <v>327</v>
      </c>
      <c r="B58" t="s">
        <v>328</v>
      </c>
    </row>
    <row r="59" spans="1:2" x14ac:dyDescent="0.3">
      <c r="A59" t="s">
        <v>329</v>
      </c>
      <c r="B59" t="s">
        <v>330</v>
      </c>
    </row>
    <row r="60" spans="1:2" x14ac:dyDescent="0.3">
      <c r="A60" t="s">
        <v>331</v>
      </c>
      <c r="B60" t="s">
        <v>332</v>
      </c>
    </row>
    <row r="61" spans="1:2" x14ac:dyDescent="0.3">
      <c r="A61" t="s">
        <v>333</v>
      </c>
      <c r="B61" t="s">
        <v>334</v>
      </c>
    </row>
    <row r="62" spans="1:2" x14ac:dyDescent="0.3">
      <c r="A62" t="s">
        <v>335</v>
      </c>
      <c r="B62" t="s">
        <v>336</v>
      </c>
    </row>
    <row r="63" spans="1:2" x14ac:dyDescent="0.3">
      <c r="A63" t="s">
        <v>337</v>
      </c>
      <c r="B63" t="s">
        <v>338</v>
      </c>
    </row>
  </sheetData>
  <mergeCells count="4">
    <mergeCell ref="A1:H1"/>
    <mergeCell ref="A3:H3"/>
    <mergeCell ref="A23:H23"/>
    <mergeCell ref="A40:H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28C3-C598-4630-A628-2E01E1EEA01B}">
  <sheetPr codeName="Sheet9"/>
  <dimension ref="A1:K40"/>
  <sheetViews>
    <sheetView topLeftCell="A4" workbookViewId="0">
      <selection activeCell="A9" sqref="A9:H9"/>
    </sheetView>
  </sheetViews>
  <sheetFormatPr defaultRowHeight="14.4" x14ac:dyDescent="0.3"/>
  <cols>
    <col min="1" max="1" width="14.77734375" customWidth="1"/>
    <col min="2" max="2" width="18.5546875" customWidth="1"/>
    <col min="3" max="3" width="14.77734375" customWidth="1"/>
    <col min="4" max="4" width="16.6640625" customWidth="1"/>
    <col min="5" max="5" width="22.21875" customWidth="1"/>
    <col min="6" max="6" width="14.77734375" customWidth="1"/>
    <col min="7" max="7" width="16.6640625" customWidth="1"/>
    <col min="8" max="8" width="18.5546875" customWidth="1"/>
    <col min="10" max="10" width="22.21875" customWidth="1"/>
    <col min="11" max="11" width="18.5546875" customWidth="1"/>
  </cols>
  <sheetData>
    <row r="1" spans="1:11" ht="34.950000000000003" customHeight="1" x14ac:dyDescent="0.4">
      <c r="A1" s="142" t="s">
        <v>339</v>
      </c>
      <c r="B1" s="128"/>
      <c r="C1" s="128"/>
      <c r="D1" s="128"/>
      <c r="E1" s="128"/>
      <c r="F1" s="128"/>
      <c r="G1" s="128"/>
      <c r="H1" s="128"/>
      <c r="I1" s="128"/>
      <c r="J1" s="128"/>
    </row>
    <row r="3" spans="1:11" x14ac:dyDescent="0.3">
      <c r="A3" s="169" t="s">
        <v>340</v>
      </c>
      <c r="B3" s="128"/>
      <c r="C3" s="128"/>
      <c r="D3" s="128"/>
      <c r="E3" s="128"/>
      <c r="F3" s="128"/>
      <c r="G3" s="128"/>
      <c r="H3" s="128"/>
      <c r="I3" s="128"/>
      <c r="J3" s="128"/>
    </row>
    <row r="5" spans="1:11" x14ac:dyDescent="0.3">
      <c r="A5" t="s">
        <v>341</v>
      </c>
    </row>
    <row r="6" spans="1:11" x14ac:dyDescent="0.3">
      <c r="A6" t="s">
        <v>342</v>
      </c>
    </row>
    <row r="7" spans="1:11" x14ac:dyDescent="0.3">
      <c r="A7" t="s">
        <v>343</v>
      </c>
    </row>
    <row r="9" spans="1:11" x14ac:dyDescent="0.3">
      <c r="J9" s="171" t="s">
        <v>385</v>
      </c>
      <c r="K9" s="128"/>
    </row>
    <row r="10" spans="1:11" x14ac:dyDescent="0.3">
      <c r="A10" s="5" t="s">
        <v>344</v>
      </c>
      <c r="B10" s="5" t="s">
        <v>252</v>
      </c>
      <c r="C10" s="5" t="s">
        <v>58</v>
      </c>
      <c r="D10" s="5" t="s">
        <v>148</v>
      </c>
      <c r="E10" s="5" t="s">
        <v>57</v>
      </c>
      <c r="F10" s="5" t="s">
        <v>60</v>
      </c>
      <c r="G10" s="5" t="s">
        <v>345</v>
      </c>
      <c r="H10" s="5" t="s">
        <v>346</v>
      </c>
      <c r="J10" s="6" t="s">
        <v>386</v>
      </c>
      <c r="K10" s="6" t="s">
        <v>387</v>
      </c>
    </row>
    <row r="11" spans="1:11" x14ac:dyDescent="0.3">
      <c r="A11" t="s">
        <v>347</v>
      </c>
      <c r="B11" s="8">
        <v>45296</v>
      </c>
      <c r="C11" t="s">
        <v>62</v>
      </c>
      <c r="D11" t="s">
        <v>153</v>
      </c>
      <c r="E11" t="s">
        <v>152</v>
      </c>
      <c r="F11">
        <v>2</v>
      </c>
      <c r="G11" s="7">
        <v>899.99</v>
      </c>
      <c r="H11" s="7">
        <f t="shared" ref="H11:H40" si="0">F11*G11</f>
        <v>1799.98</v>
      </c>
      <c r="J11" t="s">
        <v>388</v>
      </c>
      <c r="K11">
        <f>COUNTA(A11:A40)</f>
        <v>30</v>
      </c>
    </row>
    <row r="12" spans="1:11" x14ac:dyDescent="0.3">
      <c r="A12" t="s">
        <v>348</v>
      </c>
      <c r="B12" s="8">
        <v>45299</v>
      </c>
      <c r="C12" t="s">
        <v>64</v>
      </c>
      <c r="D12" t="s">
        <v>349</v>
      </c>
      <c r="E12" t="s">
        <v>157</v>
      </c>
      <c r="F12">
        <v>5</v>
      </c>
      <c r="G12" s="7">
        <v>149.99</v>
      </c>
      <c r="H12" s="7">
        <f t="shared" si="0"/>
        <v>749.95</v>
      </c>
      <c r="J12" t="s">
        <v>389</v>
      </c>
      <c r="K12" s="7">
        <f>SUM(H11:H40)</f>
        <v>32877.950000000004</v>
      </c>
    </row>
    <row r="13" spans="1:11" x14ac:dyDescent="0.3">
      <c r="A13" t="s">
        <v>350</v>
      </c>
      <c r="B13" s="8">
        <v>45303</v>
      </c>
      <c r="C13" t="s">
        <v>351</v>
      </c>
      <c r="D13" t="s">
        <v>153</v>
      </c>
      <c r="E13" t="s">
        <v>160</v>
      </c>
      <c r="F13">
        <v>3</v>
      </c>
      <c r="G13" s="7">
        <v>299.99</v>
      </c>
      <c r="H13" s="7">
        <f t="shared" si="0"/>
        <v>899.97</v>
      </c>
      <c r="J13" t="s">
        <v>390</v>
      </c>
      <c r="K13" s="7">
        <f>AVERAGE(H11:H40)</f>
        <v>1095.9316666666668</v>
      </c>
    </row>
    <row r="14" spans="1:11" x14ac:dyDescent="0.3">
      <c r="A14" t="s">
        <v>352</v>
      </c>
      <c r="B14" s="8">
        <v>45306</v>
      </c>
      <c r="C14" t="s">
        <v>353</v>
      </c>
      <c r="D14" t="s">
        <v>349</v>
      </c>
      <c r="E14" t="s">
        <v>354</v>
      </c>
      <c r="F14">
        <v>2</v>
      </c>
      <c r="G14" s="7">
        <v>199.99</v>
      </c>
      <c r="H14" s="7">
        <f t="shared" si="0"/>
        <v>399.98</v>
      </c>
      <c r="J14" t="s">
        <v>391</v>
      </c>
      <c r="K14">
        <f>SUM(F11:F40)</f>
        <v>205</v>
      </c>
    </row>
    <row r="15" spans="1:11" x14ac:dyDescent="0.3">
      <c r="A15" t="s">
        <v>355</v>
      </c>
      <c r="B15" s="8">
        <v>45309</v>
      </c>
      <c r="C15" t="s">
        <v>62</v>
      </c>
      <c r="D15" t="s">
        <v>153</v>
      </c>
      <c r="E15" t="s">
        <v>162</v>
      </c>
      <c r="F15">
        <v>10</v>
      </c>
      <c r="G15" s="7">
        <v>59.99</v>
      </c>
      <c r="H15" s="7">
        <f t="shared" si="0"/>
        <v>599.9</v>
      </c>
      <c r="J15" t="s">
        <v>392</v>
      </c>
      <c r="K15">
        <f>COUNTA(_xlfn.UNIQUE(E11:E40))</f>
        <v>10</v>
      </c>
    </row>
    <row r="16" spans="1:11" x14ac:dyDescent="0.3">
      <c r="A16" t="s">
        <v>356</v>
      </c>
      <c r="B16" s="8">
        <v>45313</v>
      </c>
      <c r="C16" t="s">
        <v>64</v>
      </c>
      <c r="D16" t="s">
        <v>153</v>
      </c>
      <c r="E16" t="s">
        <v>155</v>
      </c>
      <c r="F16">
        <v>15</v>
      </c>
      <c r="G16" s="7">
        <v>29.99</v>
      </c>
      <c r="H16" s="7">
        <f t="shared" si="0"/>
        <v>449.84999999999997</v>
      </c>
      <c r="J16" t="s">
        <v>393</v>
      </c>
      <c r="K16">
        <f>COUNTA(_xlfn.UNIQUE(C11:C40))</f>
        <v>4</v>
      </c>
    </row>
    <row r="17" spans="1:8" x14ac:dyDescent="0.3">
      <c r="A17" t="s">
        <v>357</v>
      </c>
      <c r="B17" s="8">
        <v>45316</v>
      </c>
      <c r="C17" t="s">
        <v>351</v>
      </c>
      <c r="D17" t="s">
        <v>349</v>
      </c>
      <c r="E17" t="s">
        <v>358</v>
      </c>
      <c r="F17">
        <v>2</v>
      </c>
      <c r="G17" s="7">
        <v>349.99</v>
      </c>
      <c r="H17" s="7">
        <f t="shared" si="0"/>
        <v>699.98</v>
      </c>
    </row>
    <row r="18" spans="1:8" x14ac:dyDescent="0.3">
      <c r="A18" t="s">
        <v>359</v>
      </c>
      <c r="B18" s="8">
        <v>45319</v>
      </c>
      <c r="C18" t="s">
        <v>353</v>
      </c>
      <c r="D18" t="s">
        <v>153</v>
      </c>
      <c r="E18" t="s">
        <v>360</v>
      </c>
      <c r="F18">
        <v>8</v>
      </c>
      <c r="G18" s="7">
        <v>79.989999999999995</v>
      </c>
      <c r="H18" s="7">
        <f t="shared" si="0"/>
        <v>639.91999999999996</v>
      </c>
    </row>
    <row r="19" spans="1:8" x14ac:dyDescent="0.3">
      <c r="A19" t="s">
        <v>361</v>
      </c>
      <c r="B19" s="8">
        <v>45324</v>
      </c>
      <c r="C19" t="s">
        <v>62</v>
      </c>
      <c r="D19" t="s">
        <v>349</v>
      </c>
      <c r="E19" t="s">
        <v>362</v>
      </c>
      <c r="F19">
        <v>3</v>
      </c>
      <c r="G19" s="7">
        <v>129.99</v>
      </c>
      <c r="H19" s="7">
        <f t="shared" si="0"/>
        <v>389.97</v>
      </c>
    </row>
    <row r="20" spans="1:8" x14ac:dyDescent="0.3">
      <c r="A20" t="s">
        <v>363</v>
      </c>
      <c r="B20" s="8">
        <v>45327</v>
      </c>
      <c r="C20" t="s">
        <v>64</v>
      </c>
      <c r="D20" t="s">
        <v>153</v>
      </c>
      <c r="E20" t="s">
        <v>152</v>
      </c>
      <c r="F20">
        <v>4</v>
      </c>
      <c r="G20" s="7">
        <v>899.99</v>
      </c>
      <c r="H20" s="7">
        <f t="shared" si="0"/>
        <v>3599.96</v>
      </c>
    </row>
    <row r="21" spans="1:8" x14ac:dyDescent="0.3">
      <c r="A21" t="s">
        <v>364</v>
      </c>
      <c r="B21" s="8">
        <v>45330</v>
      </c>
      <c r="C21" t="s">
        <v>351</v>
      </c>
      <c r="D21" t="s">
        <v>349</v>
      </c>
      <c r="E21" t="s">
        <v>157</v>
      </c>
      <c r="F21">
        <v>6</v>
      </c>
      <c r="G21" s="7">
        <v>149.99</v>
      </c>
      <c r="H21" s="7">
        <f t="shared" si="0"/>
        <v>899.94</v>
      </c>
    </row>
    <row r="22" spans="1:8" x14ac:dyDescent="0.3">
      <c r="A22" t="s">
        <v>365</v>
      </c>
      <c r="B22" s="8">
        <v>45334</v>
      </c>
      <c r="C22" t="s">
        <v>353</v>
      </c>
      <c r="D22" t="s">
        <v>153</v>
      </c>
      <c r="E22" t="s">
        <v>160</v>
      </c>
      <c r="F22">
        <v>5</v>
      </c>
      <c r="G22" s="7">
        <v>299.99</v>
      </c>
      <c r="H22" s="7">
        <f t="shared" si="0"/>
        <v>1499.95</v>
      </c>
    </row>
    <row r="23" spans="1:8" x14ac:dyDescent="0.3">
      <c r="A23" t="s">
        <v>366</v>
      </c>
      <c r="B23" s="8">
        <v>45337</v>
      </c>
      <c r="C23" t="s">
        <v>62</v>
      </c>
      <c r="D23" t="s">
        <v>153</v>
      </c>
      <c r="E23" t="s">
        <v>367</v>
      </c>
      <c r="F23">
        <v>3</v>
      </c>
      <c r="G23" s="7">
        <v>499.99</v>
      </c>
      <c r="H23" s="7">
        <f t="shared" si="0"/>
        <v>1499.97</v>
      </c>
    </row>
    <row r="24" spans="1:8" x14ac:dyDescent="0.3">
      <c r="A24" t="s">
        <v>368</v>
      </c>
      <c r="B24" s="8">
        <v>45340</v>
      </c>
      <c r="C24" t="s">
        <v>64</v>
      </c>
      <c r="D24" t="s">
        <v>349</v>
      </c>
      <c r="E24" t="s">
        <v>358</v>
      </c>
      <c r="F24">
        <v>4</v>
      </c>
      <c r="G24" s="7">
        <v>349.99</v>
      </c>
      <c r="H24" s="7">
        <f t="shared" si="0"/>
        <v>1399.96</v>
      </c>
    </row>
    <row r="25" spans="1:8" x14ac:dyDescent="0.3">
      <c r="A25" t="s">
        <v>369</v>
      </c>
      <c r="B25" s="8">
        <v>45344</v>
      </c>
      <c r="C25" t="s">
        <v>351</v>
      </c>
      <c r="D25" t="s">
        <v>153</v>
      </c>
      <c r="E25" t="s">
        <v>152</v>
      </c>
      <c r="F25">
        <v>2</v>
      </c>
      <c r="G25" s="7">
        <v>899.99</v>
      </c>
      <c r="H25" s="7">
        <f t="shared" si="0"/>
        <v>1799.98</v>
      </c>
    </row>
    <row r="26" spans="1:8" x14ac:dyDescent="0.3">
      <c r="A26" t="s">
        <v>370</v>
      </c>
      <c r="B26" s="8">
        <v>45347</v>
      </c>
      <c r="C26" t="s">
        <v>353</v>
      </c>
      <c r="D26" t="s">
        <v>349</v>
      </c>
      <c r="E26" t="s">
        <v>354</v>
      </c>
      <c r="F26">
        <v>3</v>
      </c>
      <c r="G26" s="7">
        <v>199.99</v>
      </c>
      <c r="H26" s="7">
        <f t="shared" si="0"/>
        <v>599.97</v>
      </c>
    </row>
    <row r="27" spans="1:8" x14ac:dyDescent="0.3">
      <c r="A27" t="s">
        <v>371</v>
      </c>
      <c r="B27" s="8">
        <v>45350</v>
      </c>
      <c r="C27" t="s">
        <v>62</v>
      </c>
      <c r="D27" t="s">
        <v>153</v>
      </c>
      <c r="E27" t="s">
        <v>155</v>
      </c>
      <c r="F27">
        <v>20</v>
      </c>
      <c r="G27" s="7">
        <v>29.99</v>
      </c>
      <c r="H27" s="7">
        <f t="shared" si="0"/>
        <v>599.79999999999995</v>
      </c>
    </row>
    <row r="28" spans="1:8" x14ac:dyDescent="0.3">
      <c r="A28" t="s">
        <v>372</v>
      </c>
      <c r="B28" s="8">
        <v>45353</v>
      </c>
      <c r="C28" t="s">
        <v>64</v>
      </c>
      <c r="D28" t="s">
        <v>153</v>
      </c>
      <c r="E28" t="s">
        <v>162</v>
      </c>
      <c r="F28">
        <v>12</v>
      </c>
      <c r="G28" s="7">
        <v>59.99</v>
      </c>
      <c r="H28" s="7">
        <f t="shared" si="0"/>
        <v>719.88</v>
      </c>
    </row>
    <row r="29" spans="1:8" x14ac:dyDescent="0.3">
      <c r="A29" t="s">
        <v>373</v>
      </c>
      <c r="B29" s="8">
        <v>45356</v>
      </c>
      <c r="C29" t="s">
        <v>351</v>
      </c>
      <c r="D29" t="s">
        <v>349</v>
      </c>
      <c r="E29" t="s">
        <v>362</v>
      </c>
      <c r="F29">
        <v>4</v>
      </c>
      <c r="G29" s="7">
        <v>129.99</v>
      </c>
      <c r="H29" s="7">
        <f t="shared" si="0"/>
        <v>519.96</v>
      </c>
    </row>
    <row r="30" spans="1:8" x14ac:dyDescent="0.3">
      <c r="A30" t="s">
        <v>374</v>
      </c>
      <c r="B30" s="8">
        <v>45359</v>
      </c>
      <c r="C30" t="s">
        <v>353</v>
      </c>
      <c r="D30" t="s">
        <v>153</v>
      </c>
      <c r="E30" t="s">
        <v>360</v>
      </c>
      <c r="F30">
        <v>10</v>
      </c>
      <c r="G30" s="7">
        <v>79.989999999999995</v>
      </c>
      <c r="H30" s="7">
        <f t="shared" si="0"/>
        <v>799.9</v>
      </c>
    </row>
    <row r="31" spans="1:8" x14ac:dyDescent="0.3">
      <c r="A31" t="s">
        <v>375</v>
      </c>
      <c r="B31" s="8">
        <v>45361</v>
      </c>
      <c r="C31" t="s">
        <v>62</v>
      </c>
      <c r="D31" t="s">
        <v>349</v>
      </c>
      <c r="E31" t="s">
        <v>358</v>
      </c>
      <c r="F31">
        <v>3</v>
      </c>
      <c r="G31" s="7">
        <v>349.99</v>
      </c>
      <c r="H31" s="7">
        <f t="shared" si="0"/>
        <v>1049.97</v>
      </c>
    </row>
    <row r="32" spans="1:8" x14ac:dyDescent="0.3">
      <c r="A32" t="s">
        <v>376</v>
      </c>
      <c r="B32" s="8">
        <v>45363</v>
      </c>
      <c r="C32" t="s">
        <v>64</v>
      </c>
      <c r="D32" t="s">
        <v>153</v>
      </c>
      <c r="E32" t="s">
        <v>367</v>
      </c>
      <c r="F32">
        <v>5</v>
      </c>
      <c r="G32" s="7">
        <v>499.99</v>
      </c>
      <c r="H32" s="7">
        <f t="shared" si="0"/>
        <v>2499.9499999999998</v>
      </c>
    </row>
    <row r="33" spans="1:8" x14ac:dyDescent="0.3">
      <c r="A33" t="s">
        <v>377</v>
      </c>
      <c r="B33" s="8">
        <v>45366</v>
      </c>
      <c r="C33" t="s">
        <v>351</v>
      </c>
      <c r="D33" t="s">
        <v>153</v>
      </c>
      <c r="E33" t="s">
        <v>152</v>
      </c>
      <c r="F33">
        <v>3</v>
      </c>
      <c r="G33" s="7">
        <v>899.99</v>
      </c>
      <c r="H33" s="7">
        <f t="shared" si="0"/>
        <v>2699.9700000000003</v>
      </c>
    </row>
    <row r="34" spans="1:8" x14ac:dyDescent="0.3">
      <c r="A34" t="s">
        <v>378</v>
      </c>
      <c r="B34" s="8">
        <v>45369</v>
      </c>
      <c r="C34" t="s">
        <v>353</v>
      </c>
      <c r="D34" t="s">
        <v>349</v>
      </c>
      <c r="E34" t="s">
        <v>157</v>
      </c>
      <c r="F34">
        <v>8</v>
      </c>
      <c r="G34" s="7">
        <v>149.99</v>
      </c>
      <c r="H34" s="7">
        <f t="shared" si="0"/>
        <v>1199.92</v>
      </c>
    </row>
    <row r="35" spans="1:8" x14ac:dyDescent="0.3">
      <c r="A35" t="s">
        <v>379</v>
      </c>
      <c r="B35" s="8">
        <v>45371</v>
      </c>
      <c r="C35" t="s">
        <v>62</v>
      </c>
      <c r="D35" t="s">
        <v>153</v>
      </c>
      <c r="E35" t="s">
        <v>160</v>
      </c>
      <c r="F35">
        <v>4</v>
      </c>
      <c r="G35" s="7">
        <v>299.99</v>
      </c>
      <c r="H35" s="7">
        <f t="shared" si="0"/>
        <v>1199.96</v>
      </c>
    </row>
    <row r="36" spans="1:8" x14ac:dyDescent="0.3">
      <c r="A36" t="s">
        <v>380</v>
      </c>
      <c r="B36" s="8">
        <v>45373</v>
      </c>
      <c r="C36" t="s">
        <v>64</v>
      </c>
      <c r="D36" t="s">
        <v>349</v>
      </c>
      <c r="E36" t="s">
        <v>354</v>
      </c>
      <c r="F36">
        <v>2</v>
      </c>
      <c r="G36" s="7">
        <v>199.99</v>
      </c>
      <c r="H36" s="7">
        <f t="shared" si="0"/>
        <v>399.98</v>
      </c>
    </row>
    <row r="37" spans="1:8" x14ac:dyDescent="0.3">
      <c r="A37" t="s">
        <v>381</v>
      </c>
      <c r="B37" s="8">
        <v>45376</v>
      </c>
      <c r="C37" t="s">
        <v>351</v>
      </c>
      <c r="D37" t="s">
        <v>153</v>
      </c>
      <c r="E37" t="s">
        <v>162</v>
      </c>
      <c r="F37">
        <v>15</v>
      </c>
      <c r="G37" s="7">
        <v>59.99</v>
      </c>
      <c r="H37" s="7">
        <f t="shared" si="0"/>
        <v>899.85</v>
      </c>
    </row>
    <row r="38" spans="1:8" x14ac:dyDescent="0.3">
      <c r="A38" t="s">
        <v>382</v>
      </c>
      <c r="B38" s="8">
        <v>45378</v>
      </c>
      <c r="C38" t="s">
        <v>353</v>
      </c>
      <c r="D38" t="s">
        <v>153</v>
      </c>
      <c r="E38" t="s">
        <v>155</v>
      </c>
      <c r="F38">
        <v>25</v>
      </c>
      <c r="G38" s="7">
        <v>29.99</v>
      </c>
      <c r="H38" s="7">
        <f t="shared" si="0"/>
        <v>749.75</v>
      </c>
    </row>
    <row r="39" spans="1:8" x14ac:dyDescent="0.3">
      <c r="A39" t="s">
        <v>383</v>
      </c>
      <c r="B39" s="8">
        <v>45380</v>
      </c>
      <c r="C39" t="s">
        <v>62</v>
      </c>
      <c r="D39" t="s">
        <v>349</v>
      </c>
      <c r="E39" t="s">
        <v>362</v>
      </c>
      <c r="F39">
        <v>5</v>
      </c>
      <c r="G39" s="7">
        <v>129.99</v>
      </c>
      <c r="H39" s="7">
        <f t="shared" si="0"/>
        <v>649.95000000000005</v>
      </c>
    </row>
    <row r="40" spans="1:8" x14ac:dyDescent="0.3">
      <c r="A40" t="s">
        <v>384</v>
      </c>
      <c r="B40" s="8">
        <v>45382</v>
      </c>
      <c r="C40" t="s">
        <v>64</v>
      </c>
      <c r="D40" t="s">
        <v>153</v>
      </c>
      <c r="E40" t="s">
        <v>360</v>
      </c>
      <c r="F40">
        <v>12</v>
      </c>
      <c r="G40" s="7">
        <v>79.989999999999995</v>
      </c>
      <c r="H40" s="7">
        <f t="shared" si="0"/>
        <v>959.87999999999988</v>
      </c>
    </row>
  </sheetData>
  <mergeCells count="3">
    <mergeCell ref="A1:J1"/>
    <mergeCell ref="A3:J3"/>
    <mergeCell ref="J9:K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6250-E76B-4AB5-B40F-F7B058CF2B33}">
  <sheetPr codeName="Sheet10"/>
  <dimension ref="A4:H34"/>
  <sheetViews>
    <sheetView workbookViewId="0">
      <selection activeCell="G7" sqref="G7"/>
    </sheetView>
  </sheetViews>
  <sheetFormatPr defaultRowHeight="14.4" x14ac:dyDescent="0.3"/>
  <cols>
    <col min="1" max="1" width="10.21875" customWidth="1"/>
    <col min="2" max="2" width="10.33203125" bestFit="1" customWidth="1"/>
    <col min="3" max="3" width="8.44140625" customWidth="1"/>
    <col min="4" max="4" width="10.21875" customWidth="1"/>
    <col min="5" max="5" width="11.77734375" bestFit="1" customWidth="1"/>
    <col min="6" max="6" width="10" customWidth="1"/>
    <col min="7" max="7" width="11.44140625" customWidth="1"/>
    <col min="8" max="8" width="12.33203125" customWidth="1"/>
    <col min="11" max="11" width="21.109375" bestFit="1" customWidth="1"/>
    <col min="12" max="12" width="12" bestFit="1" customWidth="1"/>
    <col min="13" max="13" width="6.5546875" bestFit="1" customWidth="1"/>
    <col min="14" max="14" width="10" bestFit="1" customWidth="1"/>
    <col min="15" max="15" width="7.5546875" bestFit="1" customWidth="1"/>
    <col min="16" max="16" width="8.109375" bestFit="1" customWidth="1"/>
    <col min="17" max="17" width="9.5546875" bestFit="1" customWidth="1"/>
    <col min="18" max="18" width="10.44140625" bestFit="1" customWidth="1"/>
  </cols>
  <sheetData>
    <row r="4" spans="1:8" x14ac:dyDescent="0.3">
      <c r="A4" s="184" t="s">
        <v>344</v>
      </c>
      <c r="B4" s="185" t="s">
        <v>252</v>
      </c>
      <c r="C4" s="185" t="s">
        <v>58</v>
      </c>
      <c r="D4" s="185" t="s">
        <v>148</v>
      </c>
      <c r="E4" s="185" t="s">
        <v>57</v>
      </c>
      <c r="F4" s="185" t="s">
        <v>60</v>
      </c>
      <c r="G4" s="185" t="s">
        <v>345</v>
      </c>
      <c r="H4" s="186" t="s">
        <v>346</v>
      </c>
    </row>
    <row r="5" spans="1:8" x14ac:dyDescent="0.3">
      <c r="A5" s="187" t="s">
        <v>347</v>
      </c>
      <c r="B5" s="188">
        <v>45296</v>
      </c>
      <c r="C5" s="189" t="s">
        <v>62</v>
      </c>
      <c r="D5" s="189" t="s">
        <v>153</v>
      </c>
      <c r="E5" s="189" t="s">
        <v>152</v>
      </c>
      <c r="F5" s="189">
        <v>2</v>
      </c>
      <c r="G5" s="190">
        <v>899.99</v>
      </c>
      <c r="H5" s="191">
        <f t="shared" ref="H5:H34" si="0">F5*G5</f>
        <v>1799.98</v>
      </c>
    </row>
    <row r="6" spans="1:8" x14ac:dyDescent="0.3">
      <c r="A6" s="192" t="s">
        <v>348</v>
      </c>
      <c r="B6" s="193">
        <v>45299</v>
      </c>
      <c r="C6" s="194" t="s">
        <v>64</v>
      </c>
      <c r="D6" s="194" t="s">
        <v>349</v>
      </c>
      <c r="E6" s="194" t="s">
        <v>157</v>
      </c>
      <c r="F6" s="194">
        <v>5</v>
      </c>
      <c r="G6" s="195">
        <v>149.99</v>
      </c>
      <c r="H6" s="196">
        <f t="shared" si="0"/>
        <v>749.95</v>
      </c>
    </row>
    <row r="7" spans="1:8" x14ac:dyDescent="0.3">
      <c r="A7" s="187" t="s">
        <v>350</v>
      </c>
      <c r="B7" s="188">
        <v>45303</v>
      </c>
      <c r="C7" s="189" t="s">
        <v>351</v>
      </c>
      <c r="D7" s="189" t="s">
        <v>153</v>
      </c>
      <c r="E7" s="189" t="s">
        <v>160</v>
      </c>
      <c r="F7" s="189">
        <v>3</v>
      </c>
      <c r="G7" s="190">
        <v>299.99</v>
      </c>
      <c r="H7" s="191">
        <f t="shared" si="0"/>
        <v>899.97</v>
      </c>
    </row>
    <row r="8" spans="1:8" x14ac:dyDescent="0.3">
      <c r="A8" s="192" t="s">
        <v>352</v>
      </c>
      <c r="B8" s="193">
        <v>45306</v>
      </c>
      <c r="C8" s="194" t="s">
        <v>353</v>
      </c>
      <c r="D8" s="194" t="s">
        <v>349</v>
      </c>
      <c r="E8" s="194" t="s">
        <v>354</v>
      </c>
      <c r="F8" s="194">
        <v>2</v>
      </c>
      <c r="G8" s="195">
        <v>199.99</v>
      </c>
      <c r="H8" s="196">
        <f t="shared" si="0"/>
        <v>399.98</v>
      </c>
    </row>
    <row r="9" spans="1:8" x14ac:dyDescent="0.3">
      <c r="A9" s="187" t="s">
        <v>355</v>
      </c>
      <c r="B9" s="188">
        <v>45309</v>
      </c>
      <c r="C9" s="189" t="s">
        <v>62</v>
      </c>
      <c r="D9" s="189" t="s">
        <v>153</v>
      </c>
      <c r="E9" s="189" t="s">
        <v>162</v>
      </c>
      <c r="F9" s="189">
        <v>10</v>
      </c>
      <c r="G9" s="190">
        <v>59.99</v>
      </c>
      <c r="H9" s="191">
        <f t="shared" si="0"/>
        <v>599.9</v>
      </c>
    </row>
    <row r="10" spans="1:8" x14ac:dyDescent="0.3">
      <c r="A10" s="192" t="s">
        <v>356</v>
      </c>
      <c r="B10" s="193">
        <v>45313</v>
      </c>
      <c r="C10" s="194" t="s">
        <v>64</v>
      </c>
      <c r="D10" s="194" t="s">
        <v>153</v>
      </c>
      <c r="E10" s="194" t="s">
        <v>155</v>
      </c>
      <c r="F10" s="194">
        <v>15</v>
      </c>
      <c r="G10" s="195">
        <v>29.99</v>
      </c>
      <c r="H10" s="196">
        <f t="shared" si="0"/>
        <v>449.84999999999997</v>
      </c>
    </row>
    <row r="11" spans="1:8" x14ac:dyDescent="0.3">
      <c r="A11" s="187" t="s">
        <v>357</v>
      </c>
      <c r="B11" s="188">
        <v>45316</v>
      </c>
      <c r="C11" s="189" t="s">
        <v>351</v>
      </c>
      <c r="D11" s="189" t="s">
        <v>349</v>
      </c>
      <c r="E11" s="189" t="s">
        <v>358</v>
      </c>
      <c r="F11" s="189">
        <v>2</v>
      </c>
      <c r="G11" s="190">
        <v>349.99</v>
      </c>
      <c r="H11" s="191">
        <f t="shared" si="0"/>
        <v>699.98</v>
      </c>
    </row>
    <row r="12" spans="1:8" x14ac:dyDescent="0.3">
      <c r="A12" s="192" t="s">
        <v>359</v>
      </c>
      <c r="B12" s="193">
        <v>45319</v>
      </c>
      <c r="C12" s="194" t="s">
        <v>353</v>
      </c>
      <c r="D12" s="194" t="s">
        <v>153</v>
      </c>
      <c r="E12" s="194" t="s">
        <v>360</v>
      </c>
      <c r="F12" s="194">
        <v>8</v>
      </c>
      <c r="G12" s="195">
        <v>79.989999999999995</v>
      </c>
      <c r="H12" s="196">
        <f t="shared" si="0"/>
        <v>639.91999999999996</v>
      </c>
    </row>
    <row r="13" spans="1:8" x14ac:dyDescent="0.3">
      <c r="A13" s="187" t="s">
        <v>361</v>
      </c>
      <c r="B13" s="188">
        <v>45324</v>
      </c>
      <c r="C13" s="189" t="s">
        <v>62</v>
      </c>
      <c r="D13" s="189" t="s">
        <v>349</v>
      </c>
      <c r="E13" s="189" t="s">
        <v>362</v>
      </c>
      <c r="F13" s="189">
        <v>3</v>
      </c>
      <c r="G13" s="190">
        <v>129.99</v>
      </c>
      <c r="H13" s="191">
        <f t="shared" si="0"/>
        <v>389.97</v>
      </c>
    </row>
    <row r="14" spans="1:8" x14ac:dyDescent="0.3">
      <c r="A14" s="192" t="s">
        <v>363</v>
      </c>
      <c r="B14" s="193">
        <v>45327</v>
      </c>
      <c r="C14" s="194" t="s">
        <v>64</v>
      </c>
      <c r="D14" s="194" t="s">
        <v>153</v>
      </c>
      <c r="E14" s="194" t="s">
        <v>152</v>
      </c>
      <c r="F14" s="194">
        <v>4</v>
      </c>
      <c r="G14" s="195">
        <v>899.99</v>
      </c>
      <c r="H14" s="196">
        <f t="shared" si="0"/>
        <v>3599.96</v>
      </c>
    </row>
    <row r="15" spans="1:8" x14ac:dyDescent="0.3">
      <c r="A15" s="187" t="s">
        <v>364</v>
      </c>
      <c r="B15" s="188">
        <v>45330</v>
      </c>
      <c r="C15" s="189" t="s">
        <v>351</v>
      </c>
      <c r="D15" s="189" t="s">
        <v>349</v>
      </c>
      <c r="E15" s="189" t="s">
        <v>157</v>
      </c>
      <c r="F15" s="189">
        <v>6</v>
      </c>
      <c r="G15" s="190">
        <v>149.99</v>
      </c>
      <c r="H15" s="191">
        <f t="shared" si="0"/>
        <v>899.94</v>
      </c>
    </row>
    <row r="16" spans="1:8" x14ac:dyDescent="0.3">
      <c r="A16" s="192" t="s">
        <v>365</v>
      </c>
      <c r="B16" s="193">
        <v>45334</v>
      </c>
      <c r="C16" s="194" t="s">
        <v>353</v>
      </c>
      <c r="D16" s="194" t="s">
        <v>153</v>
      </c>
      <c r="E16" s="194" t="s">
        <v>160</v>
      </c>
      <c r="F16" s="194">
        <v>5</v>
      </c>
      <c r="G16" s="195">
        <v>299.99</v>
      </c>
      <c r="H16" s="196">
        <f t="shared" si="0"/>
        <v>1499.95</v>
      </c>
    </row>
    <row r="17" spans="1:8" x14ac:dyDescent="0.3">
      <c r="A17" s="187" t="s">
        <v>366</v>
      </c>
      <c r="B17" s="188">
        <v>45337</v>
      </c>
      <c r="C17" s="189" t="s">
        <v>62</v>
      </c>
      <c r="D17" s="189" t="s">
        <v>153</v>
      </c>
      <c r="E17" s="189" t="s">
        <v>367</v>
      </c>
      <c r="F17" s="189">
        <v>3</v>
      </c>
      <c r="G17" s="190">
        <v>499.99</v>
      </c>
      <c r="H17" s="191">
        <f t="shared" si="0"/>
        <v>1499.97</v>
      </c>
    </row>
    <row r="18" spans="1:8" x14ac:dyDescent="0.3">
      <c r="A18" s="192" t="s">
        <v>368</v>
      </c>
      <c r="B18" s="193">
        <v>45340</v>
      </c>
      <c r="C18" s="194" t="s">
        <v>64</v>
      </c>
      <c r="D18" s="194" t="s">
        <v>349</v>
      </c>
      <c r="E18" s="194" t="s">
        <v>358</v>
      </c>
      <c r="F18" s="194">
        <v>4</v>
      </c>
      <c r="G18" s="195">
        <v>349.99</v>
      </c>
      <c r="H18" s="196">
        <f t="shared" si="0"/>
        <v>1399.96</v>
      </c>
    </row>
    <row r="19" spans="1:8" x14ac:dyDescent="0.3">
      <c r="A19" s="187" t="s">
        <v>369</v>
      </c>
      <c r="B19" s="188">
        <v>45344</v>
      </c>
      <c r="C19" s="189" t="s">
        <v>351</v>
      </c>
      <c r="D19" s="189" t="s">
        <v>153</v>
      </c>
      <c r="E19" s="189" t="s">
        <v>152</v>
      </c>
      <c r="F19" s="189">
        <v>2</v>
      </c>
      <c r="G19" s="190">
        <v>899.99</v>
      </c>
      <c r="H19" s="191">
        <f t="shared" si="0"/>
        <v>1799.98</v>
      </c>
    </row>
    <row r="20" spans="1:8" x14ac:dyDescent="0.3">
      <c r="A20" s="192" t="s">
        <v>370</v>
      </c>
      <c r="B20" s="193">
        <v>45347</v>
      </c>
      <c r="C20" s="194" t="s">
        <v>353</v>
      </c>
      <c r="D20" s="194" t="s">
        <v>349</v>
      </c>
      <c r="E20" s="194" t="s">
        <v>354</v>
      </c>
      <c r="F20" s="194">
        <v>3</v>
      </c>
      <c r="G20" s="195">
        <v>199.99</v>
      </c>
      <c r="H20" s="196">
        <f t="shared" si="0"/>
        <v>599.97</v>
      </c>
    </row>
    <row r="21" spans="1:8" x14ac:dyDescent="0.3">
      <c r="A21" s="187" t="s">
        <v>371</v>
      </c>
      <c r="B21" s="188">
        <v>45350</v>
      </c>
      <c r="C21" s="189" t="s">
        <v>62</v>
      </c>
      <c r="D21" s="189" t="s">
        <v>153</v>
      </c>
      <c r="E21" s="189" t="s">
        <v>155</v>
      </c>
      <c r="F21" s="189">
        <v>20</v>
      </c>
      <c r="G21" s="190">
        <v>29.99</v>
      </c>
      <c r="H21" s="191">
        <f t="shared" si="0"/>
        <v>599.79999999999995</v>
      </c>
    </row>
    <row r="22" spans="1:8" x14ac:dyDescent="0.3">
      <c r="A22" s="192" t="s">
        <v>372</v>
      </c>
      <c r="B22" s="193">
        <v>45353</v>
      </c>
      <c r="C22" s="194" t="s">
        <v>64</v>
      </c>
      <c r="D22" s="194" t="s">
        <v>153</v>
      </c>
      <c r="E22" s="194" t="s">
        <v>162</v>
      </c>
      <c r="F22" s="194">
        <v>12</v>
      </c>
      <c r="G22" s="195">
        <v>59.99</v>
      </c>
      <c r="H22" s="196">
        <f t="shared" si="0"/>
        <v>719.88</v>
      </c>
    </row>
    <row r="23" spans="1:8" x14ac:dyDescent="0.3">
      <c r="A23" s="187" t="s">
        <v>373</v>
      </c>
      <c r="B23" s="188">
        <v>45356</v>
      </c>
      <c r="C23" s="189" t="s">
        <v>351</v>
      </c>
      <c r="D23" s="189" t="s">
        <v>349</v>
      </c>
      <c r="E23" s="189" t="s">
        <v>362</v>
      </c>
      <c r="F23" s="189">
        <v>4</v>
      </c>
      <c r="G23" s="190">
        <v>129.99</v>
      </c>
      <c r="H23" s="191">
        <f t="shared" si="0"/>
        <v>519.96</v>
      </c>
    </row>
    <row r="24" spans="1:8" x14ac:dyDescent="0.3">
      <c r="A24" s="192" t="s">
        <v>374</v>
      </c>
      <c r="B24" s="193">
        <v>45359</v>
      </c>
      <c r="C24" s="194" t="s">
        <v>353</v>
      </c>
      <c r="D24" s="194" t="s">
        <v>153</v>
      </c>
      <c r="E24" s="194" t="s">
        <v>360</v>
      </c>
      <c r="F24" s="194">
        <v>10</v>
      </c>
      <c r="G24" s="195">
        <v>79.989999999999995</v>
      </c>
      <c r="H24" s="196">
        <f t="shared" si="0"/>
        <v>799.9</v>
      </c>
    </row>
    <row r="25" spans="1:8" x14ac:dyDescent="0.3">
      <c r="A25" s="187" t="s">
        <v>375</v>
      </c>
      <c r="B25" s="188">
        <v>45361</v>
      </c>
      <c r="C25" s="189" t="s">
        <v>62</v>
      </c>
      <c r="D25" s="189" t="s">
        <v>349</v>
      </c>
      <c r="E25" s="189" t="s">
        <v>358</v>
      </c>
      <c r="F25" s="189">
        <v>3</v>
      </c>
      <c r="G25" s="190">
        <v>349.99</v>
      </c>
      <c r="H25" s="191">
        <f t="shared" si="0"/>
        <v>1049.97</v>
      </c>
    </row>
    <row r="26" spans="1:8" x14ac:dyDescent="0.3">
      <c r="A26" s="192" t="s">
        <v>376</v>
      </c>
      <c r="B26" s="193">
        <v>45363</v>
      </c>
      <c r="C26" s="194" t="s">
        <v>64</v>
      </c>
      <c r="D26" s="194" t="s">
        <v>153</v>
      </c>
      <c r="E26" s="194" t="s">
        <v>367</v>
      </c>
      <c r="F26" s="194">
        <v>5</v>
      </c>
      <c r="G26" s="195">
        <v>499.99</v>
      </c>
      <c r="H26" s="196">
        <f t="shared" si="0"/>
        <v>2499.9499999999998</v>
      </c>
    </row>
    <row r="27" spans="1:8" x14ac:dyDescent="0.3">
      <c r="A27" s="187" t="s">
        <v>377</v>
      </c>
      <c r="B27" s="188">
        <v>45366</v>
      </c>
      <c r="C27" s="189" t="s">
        <v>351</v>
      </c>
      <c r="D27" s="189" t="s">
        <v>153</v>
      </c>
      <c r="E27" s="189" t="s">
        <v>152</v>
      </c>
      <c r="F27" s="189">
        <v>3</v>
      </c>
      <c r="G27" s="190">
        <v>899.99</v>
      </c>
      <c r="H27" s="191">
        <f t="shared" si="0"/>
        <v>2699.9700000000003</v>
      </c>
    </row>
    <row r="28" spans="1:8" x14ac:dyDescent="0.3">
      <c r="A28" s="192" t="s">
        <v>378</v>
      </c>
      <c r="B28" s="193">
        <v>45369</v>
      </c>
      <c r="C28" s="194" t="s">
        <v>353</v>
      </c>
      <c r="D28" s="194" t="s">
        <v>349</v>
      </c>
      <c r="E28" s="194" t="s">
        <v>157</v>
      </c>
      <c r="F28" s="194">
        <v>8</v>
      </c>
      <c r="G28" s="195">
        <v>149.99</v>
      </c>
      <c r="H28" s="196">
        <f t="shared" si="0"/>
        <v>1199.92</v>
      </c>
    </row>
    <row r="29" spans="1:8" x14ac:dyDescent="0.3">
      <c r="A29" s="187" t="s">
        <v>379</v>
      </c>
      <c r="B29" s="188">
        <v>45371</v>
      </c>
      <c r="C29" s="189" t="s">
        <v>62</v>
      </c>
      <c r="D29" s="189" t="s">
        <v>153</v>
      </c>
      <c r="E29" s="189" t="s">
        <v>160</v>
      </c>
      <c r="F29" s="189">
        <v>4</v>
      </c>
      <c r="G29" s="190">
        <v>299.99</v>
      </c>
      <c r="H29" s="191">
        <f t="shared" si="0"/>
        <v>1199.96</v>
      </c>
    </row>
    <row r="30" spans="1:8" x14ac:dyDescent="0.3">
      <c r="A30" s="192" t="s">
        <v>380</v>
      </c>
      <c r="B30" s="193">
        <v>45373</v>
      </c>
      <c r="C30" s="194" t="s">
        <v>64</v>
      </c>
      <c r="D30" s="194" t="s">
        <v>349</v>
      </c>
      <c r="E30" s="194" t="s">
        <v>354</v>
      </c>
      <c r="F30" s="194">
        <v>2</v>
      </c>
      <c r="G30" s="195">
        <v>199.99</v>
      </c>
      <c r="H30" s="196">
        <f t="shared" si="0"/>
        <v>399.98</v>
      </c>
    </row>
    <row r="31" spans="1:8" x14ac:dyDescent="0.3">
      <c r="A31" s="187" t="s">
        <v>381</v>
      </c>
      <c r="B31" s="188">
        <v>45376</v>
      </c>
      <c r="C31" s="189" t="s">
        <v>351</v>
      </c>
      <c r="D31" s="189" t="s">
        <v>153</v>
      </c>
      <c r="E31" s="189" t="s">
        <v>162</v>
      </c>
      <c r="F31" s="189">
        <v>15</v>
      </c>
      <c r="G31" s="190">
        <v>59.99</v>
      </c>
      <c r="H31" s="191">
        <f t="shared" si="0"/>
        <v>899.85</v>
      </c>
    </row>
    <row r="32" spans="1:8" x14ac:dyDescent="0.3">
      <c r="A32" s="192" t="s">
        <v>382</v>
      </c>
      <c r="B32" s="193">
        <v>45378</v>
      </c>
      <c r="C32" s="194" t="s">
        <v>353</v>
      </c>
      <c r="D32" s="194" t="s">
        <v>153</v>
      </c>
      <c r="E32" s="194" t="s">
        <v>155</v>
      </c>
      <c r="F32" s="194">
        <v>25</v>
      </c>
      <c r="G32" s="195">
        <v>29.99</v>
      </c>
      <c r="H32" s="196">
        <f t="shared" si="0"/>
        <v>749.75</v>
      </c>
    </row>
    <row r="33" spans="1:8" x14ac:dyDescent="0.3">
      <c r="A33" s="187" t="s">
        <v>383</v>
      </c>
      <c r="B33" s="188">
        <v>45380</v>
      </c>
      <c r="C33" s="189" t="s">
        <v>62</v>
      </c>
      <c r="D33" s="189" t="s">
        <v>349</v>
      </c>
      <c r="E33" s="189" t="s">
        <v>362</v>
      </c>
      <c r="F33" s="189">
        <v>5</v>
      </c>
      <c r="G33" s="190">
        <v>129.99</v>
      </c>
      <c r="H33" s="191">
        <f t="shared" si="0"/>
        <v>649.95000000000005</v>
      </c>
    </row>
    <row r="34" spans="1:8" x14ac:dyDescent="0.3">
      <c r="A34" s="197" t="s">
        <v>384</v>
      </c>
      <c r="B34" s="198">
        <v>45382</v>
      </c>
      <c r="C34" s="199" t="s">
        <v>64</v>
      </c>
      <c r="D34" s="199" t="s">
        <v>153</v>
      </c>
      <c r="E34" s="199" t="s">
        <v>360</v>
      </c>
      <c r="F34" s="199">
        <v>12</v>
      </c>
      <c r="G34" s="200">
        <v>79.989999999999995</v>
      </c>
      <c r="H34" s="201">
        <f t="shared" si="0"/>
        <v>959.87999999999988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F0D4-6875-4DC6-A06E-86D02C2C1473}">
  <sheetPr codeName="Sheet11"/>
  <dimension ref="A1:H68"/>
  <sheetViews>
    <sheetView topLeftCell="A43" workbookViewId="0">
      <selection activeCell="C47" sqref="C47:C49"/>
    </sheetView>
  </sheetViews>
  <sheetFormatPr defaultRowHeight="14.4" x14ac:dyDescent="0.3"/>
  <cols>
    <col min="1" max="1" width="51.88671875" customWidth="1"/>
    <col min="2" max="2" width="33.33203125" customWidth="1"/>
    <col min="3" max="3" width="22.21875" customWidth="1"/>
    <col min="4" max="4" width="18.5546875" customWidth="1"/>
  </cols>
  <sheetData>
    <row r="1" spans="1:8" ht="34.950000000000003" customHeight="1" x14ac:dyDescent="0.4">
      <c r="A1" s="142" t="s">
        <v>394</v>
      </c>
      <c r="B1" s="128"/>
      <c r="C1" s="128"/>
      <c r="D1" s="128"/>
      <c r="E1" s="128"/>
      <c r="F1" s="128"/>
      <c r="G1" s="128"/>
      <c r="H1" s="128"/>
    </row>
    <row r="3" spans="1:8" x14ac:dyDescent="0.3">
      <c r="A3" s="170" t="s">
        <v>395</v>
      </c>
      <c r="B3" s="128"/>
      <c r="C3" s="128"/>
      <c r="D3" s="128"/>
      <c r="E3" s="128"/>
      <c r="F3" s="128"/>
      <c r="G3" s="128"/>
      <c r="H3" s="128"/>
    </row>
    <row r="4" spans="1:8" x14ac:dyDescent="0.3">
      <c r="A4" t="s">
        <v>396</v>
      </c>
    </row>
    <row r="6" spans="1:8" x14ac:dyDescent="0.3">
      <c r="A6" s="5" t="s">
        <v>58</v>
      </c>
      <c r="B6" s="5" t="s">
        <v>397</v>
      </c>
      <c r="C6" s="5" t="s">
        <v>398</v>
      </c>
      <c r="D6" s="5" t="s">
        <v>390</v>
      </c>
    </row>
    <row r="7" spans="1:8" x14ac:dyDescent="0.3">
      <c r="A7" t="s">
        <v>62</v>
      </c>
      <c r="B7" s="7"/>
      <c r="D7" s="7"/>
    </row>
    <row r="8" spans="1:8" x14ac:dyDescent="0.3">
      <c r="A8" t="s">
        <v>64</v>
      </c>
      <c r="B8" s="7"/>
      <c r="D8" s="7"/>
    </row>
    <row r="9" spans="1:8" x14ac:dyDescent="0.3">
      <c r="A9" t="s">
        <v>351</v>
      </c>
      <c r="B9" s="7"/>
      <c r="D9" s="7"/>
    </row>
    <row r="10" spans="1:8" x14ac:dyDescent="0.3">
      <c r="A10" t="s">
        <v>353</v>
      </c>
      <c r="B10" s="7"/>
      <c r="D10" s="7"/>
    </row>
    <row r="11" spans="1:8" x14ac:dyDescent="0.3">
      <c r="A11" s="6" t="s">
        <v>399</v>
      </c>
      <c r="B11" s="9"/>
      <c r="C11" s="9"/>
      <c r="D11" s="9"/>
    </row>
    <row r="13" spans="1:8" x14ac:dyDescent="0.3">
      <c r="A13" s="170" t="s">
        <v>400</v>
      </c>
      <c r="B13" s="128"/>
      <c r="C13" s="128"/>
      <c r="D13" s="128"/>
      <c r="E13" s="128"/>
      <c r="F13" s="128"/>
      <c r="G13" s="128"/>
      <c r="H13" s="128"/>
    </row>
    <row r="14" spans="1:8" x14ac:dyDescent="0.3">
      <c r="A14" t="s">
        <v>401</v>
      </c>
    </row>
    <row r="16" spans="1:8" x14ac:dyDescent="0.3">
      <c r="A16" s="5" t="s">
        <v>148</v>
      </c>
      <c r="B16" s="5" t="s">
        <v>397</v>
      </c>
      <c r="C16" s="5" t="s">
        <v>402</v>
      </c>
      <c r="D16" s="5" t="s">
        <v>403</v>
      </c>
    </row>
    <row r="17" spans="1:8" x14ac:dyDescent="0.3">
      <c r="A17" t="s">
        <v>153</v>
      </c>
      <c r="B17" s="7"/>
      <c r="C17" s="10"/>
    </row>
    <row r="18" spans="1:8" x14ac:dyDescent="0.3">
      <c r="A18" t="s">
        <v>349</v>
      </c>
      <c r="B18" s="7"/>
      <c r="C18" s="10"/>
    </row>
    <row r="20" spans="1:8" x14ac:dyDescent="0.3">
      <c r="A20" s="170" t="s">
        <v>404</v>
      </c>
      <c r="B20" s="128"/>
      <c r="C20" s="128"/>
      <c r="D20" s="128"/>
      <c r="E20" s="128"/>
      <c r="F20" s="128"/>
      <c r="G20" s="128"/>
      <c r="H20" s="128"/>
    </row>
    <row r="21" spans="1:8" x14ac:dyDescent="0.3">
      <c r="A21" t="s">
        <v>405</v>
      </c>
    </row>
    <row r="23" spans="1:8" x14ac:dyDescent="0.3">
      <c r="A23" s="5" t="s">
        <v>57</v>
      </c>
      <c r="B23" s="5" t="s">
        <v>397</v>
      </c>
      <c r="C23" s="5" t="s">
        <v>406</v>
      </c>
    </row>
    <row r="24" spans="1:8" x14ac:dyDescent="0.3">
      <c r="A24" t="s">
        <v>152</v>
      </c>
      <c r="B24" s="7"/>
    </row>
    <row r="25" spans="1:8" x14ac:dyDescent="0.3">
      <c r="A25" t="s">
        <v>160</v>
      </c>
      <c r="B25" s="7"/>
    </row>
    <row r="26" spans="1:8" x14ac:dyDescent="0.3">
      <c r="A26" t="s">
        <v>367</v>
      </c>
      <c r="B26" s="7"/>
    </row>
    <row r="27" spans="1:8" x14ac:dyDescent="0.3">
      <c r="A27" t="s">
        <v>162</v>
      </c>
      <c r="B27" s="7"/>
    </row>
    <row r="28" spans="1:8" x14ac:dyDescent="0.3">
      <c r="A28" t="s">
        <v>155</v>
      </c>
      <c r="B28" s="7"/>
    </row>
    <row r="29" spans="1:8" x14ac:dyDescent="0.3">
      <c r="A29" t="s">
        <v>360</v>
      </c>
      <c r="B29" s="7"/>
    </row>
    <row r="30" spans="1:8" x14ac:dyDescent="0.3">
      <c r="A30" t="s">
        <v>358</v>
      </c>
      <c r="B30" s="7"/>
    </row>
    <row r="31" spans="1:8" x14ac:dyDescent="0.3">
      <c r="A31" t="s">
        <v>157</v>
      </c>
      <c r="B31" s="7"/>
    </row>
    <row r="32" spans="1:8" x14ac:dyDescent="0.3">
      <c r="A32" t="s">
        <v>354</v>
      </c>
      <c r="B32" s="7"/>
    </row>
    <row r="33" spans="1:8" x14ac:dyDescent="0.3">
      <c r="A33" t="s">
        <v>362</v>
      </c>
      <c r="B33" s="7"/>
    </row>
    <row r="35" spans="1:8" x14ac:dyDescent="0.3">
      <c r="A35" s="170" t="s">
        <v>407</v>
      </c>
      <c r="B35" s="128"/>
      <c r="C35" s="128"/>
      <c r="D35" s="128"/>
      <c r="E35" s="128"/>
      <c r="F35" s="128"/>
      <c r="G35" s="128"/>
      <c r="H35" s="128"/>
    </row>
    <row r="36" spans="1:8" x14ac:dyDescent="0.3">
      <c r="A36" t="s">
        <v>408</v>
      </c>
    </row>
    <row r="38" spans="1:8" x14ac:dyDescent="0.3">
      <c r="A38" s="5" t="s">
        <v>409</v>
      </c>
      <c r="B38" s="5" t="s">
        <v>397</v>
      </c>
      <c r="C38" s="5" t="s">
        <v>410</v>
      </c>
      <c r="D38" s="5" t="s">
        <v>411</v>
      </c>
    </row>
    <row r="39" spans="1:8" x14ac:dyDescent="0.3">
      <c r="A39" t="s">
        <v>412</v>
      </c>
      <c r="B39" s="7"/>
    </row>
    <row r="40" spans="1:8" x14ac:dyDescent="0.3">
      <c r="A40" t="s">
        <v>413</v>
      </c>
      <c r="B40" s="7"/>
      <c r="D40" s="10"/>
    </row>
    <row r="41" spans="1:8" x14ac:dyDescent="0.3">
      <c r="A41" t="s">
        <v>414</v>
      </c>
      <c r="B41" s="7"/>
      <c r="D41" s="10"/>
    </row>
    <row r="43" spans="1:8" x14ac:dyDescent="0.3">
      <c r="A43" s="170" t="s">
        <v>415</v>
      </c>
      <c r="B43" s="128"/>
      <c r="C43" s="128"/>
      <c r="D43" s="128"/>
      <c r="E43" s="128"/>
      <c r="F43" s="128"/>
      <c r="G43" s="128"/>
      <c r="H43" s="128"/>
    </row>
    <row r="45" spans="1:8" x14ac:dyDescent="0.3">
      <c r="A45" s="5" t="s">
        <v>416</v>
      </c>
      <c r="B45" s="5" t="s">
        <v>417</v>
      </c>
      <c r="C45" s="5" t="s">
        <v>74</v>
      </c>
    </row>
    <row r="46" spans="1:8" x14ac:dyDescent="0.3">
      <c r="A46" t="s">
        <v>418</v>
      </c>
    </row>
    <row r="47" spans="1:8" x14ac:dyDescent="0.3">
      <c r="A47" t="s">
        <v>419</v>
      </c>
      <c r="B47" t="s">
        <v>420</v>
      </c>
    </row>
    <row r="48" spans="1:8" x14ac:dyDescent="0.3">
      <c r="A48" t="s">
        <v>421</v>
      </c>
      <c r="B48" t="s">
        <v>420</v>
      </c>
    </row>
    <row r="49" spans="1:8" x14ac:dyDescent="0.3">
      <c r="A49" t="s">
        <v>422</v>
      </c>
      <c r="B49" t="s">
        <v>53</v>
      </c>
      <c r="C49" s="7"/>
    </row>
    <row r="51" spans="1:8" x14ac:dyDescent="0.3">
      <c r="A51" s="171" t="s">
        <v>423</v>
      </c>
      <c r="B51" s="171"/>
      <c r="C51" s="171"/>
      <c r="D51" s="171"/>
      <c r="E51" s="171"/>
      <c r="F51" s="171"/>
      <c r="G51" s="171"/>
      <c r="H51" s="171"/>
    </row>
    <row r="52" spans="1:8" x14ac:dyDescent="0.3">
      <c r="A52" t="s">
        <v>424</v>
      </c>
    </row>
    <row r="54" spans="1:8" x14ac:dyDescent="0.3">
      <c r="A54" s="1" t="s">
        <v>425</v>
      </c>
    </row>
    <row r="55" spans="1:8" x14ac:dyDescent="0.3">
      <c r="A55" t="s">
        <v>426</v>
      </c>
    </row>
    <row r="56" spans="1:8" x14ac:dyDescent="0.3">
      <c r="A56" t="s">
        <v>427</v>
      </c>
    </row>
    <row r="58" spans="1:8" x14ac:dyDescent="0.3">
      <c r="A58" s="1" t="s">
        <v>428</v>
      </c>
    </row>
    <row r="59" spans="1:8" x14ac:dyDescent="0.3">
      <c r="A59" t="s">
        <v>429</v>
      </c>
    </row>
    <row r="60" spans="1:8" x14ac:dyDescent="0.3">
      <c r="A60" t="s">
        <v>430</v>
      </c>
    </row>
    <row r="62" spans="1:8" x14ac:dyDescent="0.3">
      <c r="A62" s="1" t="s">
        <v>431</v>
      </c>
    </row>
    <row r="63" spans="1:8" x14ac:dyDescent="0.3">
      <c r="A63" t="s">
        <v>432</v>
      </c>
    </row>
    <row r="64" spans="1:8" x14ac:dyDescent="0.3">
      <c r="A64" t="s">
        <v>433</v>
      </c>
    </row>
    <row r="66" spans="1:1" x14ac:dyDescent="0.3">
      <c r="A66" s="1" t="s">
        <v>434</v>
      </c>
    </row>
    <row r="67" spans="1:1" x14ac:dyDescent="0.3">
      <c r="A67" t="s">
        <v>435</v>
      </c>
    </row>
    <row r="68" spans="1:1" x14ac:dyDescent="0.3">
      <c r="A68" t="s">
        <v>436</v>
      </c>
    </row>
  </sheetData>
  <mergeCells count="7">
    <mergeCell ref="A51:H51"/>
    <mergeCell ref="A1:H1"/>
    <mergeCell ref="A3:H3"/>
    <mergeCell ref="A13:H13"/>
    <mergeCell ref="A20:H20"/>
    <mergeCell ref="A35:H35"/>
    <mergeCell ref="A43:H4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F759-A1E4-4B0D-8571-149EA6C3C1B8}">
  <sheetPr codeName="Sheet15"/>
  <dimension ref="A1:I264"/>
  <sheetViews>
    <sheetView topLeftCell="A250" zoomScale="109" zoomScaleNormal="145" workbookViewId="0">
      <selection activeCell="F207" sqref="F207"/>
    </sheetView>
  </sheetViews>
  <sheetFormatPr defaultRowHeight="14.4" x14ac:dyDescent="0.3"/>
  <cols>
    <col min="1" max="1" width="22.21875" customWidth="1"/>
    <col min="2" max="2" width="18.5546875" customWidth="1"/>
    <col min="3" max="3" width="33.33203125" customWidth="1"/>
    <col min="4" max="4" width="25.88671875" customWidth="1"/>
    <col min="5" max="6" width="18.5546875" customWidth="1"/>
    <col min="7" max="9" width="16.6640625" customWidth="1"/>
  </cols>
  <sheetData>
    <row r="1" spans="1:9" ht="30" customHeight="1" x14ac:dyDescent="0.45">
      <c r="A1" s="132" t="s">
        <v>667</v>
      </c>
      <c r="B1" s="128"/>
      <c r="C1" s="128"/>
      <c r="D1" s="128"/>
      <c r="E1" s="128"/>
      <c r="F1" s="128"/>
      <c r="G1" s="128"/>
      <c r="H1" s="128"/>
      <c r="I1" s="128"/>
    </row>
    <row r="2" spans="1:9" x14ac:dyDescent="0.3">
      <c r="A2" s="137" t="s">
        <v>668</v>
      </c>
      <c r="B2" s="128"/>
      <c r="C2" s="128"/>
      <c r="D2" s="128"/>
      <c r="E2" s="128"/>
      <c r="F2" s="128"/>
      <c r="G2" s="128"/>
      <c r="H2" s="128"/>
      <c r="I2" s="128"/>
    </row>
    <row r="4" spans="1:9" ht="25.05" customHeight="1" x14ac:dyDescent="0.35">
      <c r="A4" s="172" t="s">
        <v>669</v>
      </c>
      <c r="B4" s="128"/>
      <c r="C4" s="128"/>
      <c r="D4" s="128"/>
      <c r="E4" s="128"/>
      <c r="F4" s="128"/>
      <c r="G4" s="128"/>
      <c r="H4" s="128"/>
      <c r="I4" s="128"/>
    </row>
    <row r="6" spans="1:9" x14ac:dyDescent="0.3">
      <c r="A6" s="1" t="s">
        <v>670</v>
      </c>
    </row>
    <row r="7" spans="1:9" x14ac:dyDescent="0.3">
      <c r="A7" s="173" t="s">
        <v>671</v>
      </c>
      <c r="B7" s="128"/>
      <c r="C7" s="128"/>
      <c r="D7" s="128"/>
      <c r="E7" s="128"/>
      <c r="F7" s="128"/>
      <c r="G7" s="128"/>
      <c r="H7" s="128"/>
      <c r="I7" s="128"/>
    </row>
    <row r="9" spans="1:9" x14ac:dyDescent="0.3">
      <c r="A9" s="1" t="s">
        <v>672</v>
      </c>
      <c r="E9" s="1" t="s">
        <v>687</v>
      </c>
    </row>
    <row r="10" spans="1:9" x14ac:dyDescent="0.3">
      <c r="A10" s="35" t="s">
        <v>673</v>
      </c>
      <c r="B10" s="35" t="s">
        <v>387</v>
      </c>
      <c r="C10" s="35" t="s">
        <v>6</v>
      </c>
      <c r="E10" s="35" t="s">
        <v>688</v>
      </c>
      <c r="F10" s="35" t="s">
        <v>674</v>
      </c>
      <c r="G10" s="35" t="s">
        <v>676</v>
      </c>
      <c r="H10" s="35" t="s">
        <v>678</v>
      </c>
      <c r="I10" s="35" t="s">
        <v>680</v>
      </c>
    </row>
    <row r="11" spans="1:9" x14ac:dyDescent="0.3">
      <c r="A11" s="17" t="s">
        <v>674</v>
      </c>
      <c r="B11" s="36">
        <v>1000</v>
      </c>
      <c r="C11" s="17" t="s">
        <v>675</v>
      </c>
      <c r="E11" s="43" t="s">
        <v>689</v>
      </c>
      <c r="F11" s="44">
        <v>1500</v>
      </c>
      <c r="G11" s="45">
        <v>55</v>
      </c>
      <c r="H11" s="45">
        <v>28</v>
      </c>
      <c r="I11" s="45">
        <v>5000</v>
      </c>
    </row>
    <row r="12" spans="1:9" x14ac:dyDescent="0.3">
      <c r="A12" s="17" t="s">
        <v>676</v>
      </c>
      <c r="B12" s="37">
        <v>50</v>
      </c>
      <c r="C12" s="17" t="s">
        <v>677</v>
      </c>
      <c r="E12" s="46" t="s">
        <v>690</v>
      </c>
      <c r="F12" s="47">
        <v>600</v>
      </c>
      <c r="G12" s="48">
        <v>45</v>
      </c>
      <c r="H12" s="48">
        <v>35</v>
      </c>
      <c r="I12" s="48">
        <v>6000</v>
      </c>
    </row>
    <row r="13" spans="1:9" x14ac:dyDescent="0.3">
      <c r="A13" s="17" t="s">
        <v>678</v>
      </c>
      <c r="B13" s="37">
        <v>30</v>
      </c>
      <c r="C13" s="17" t="s">
        <v>679</v>
      </c>
      <c r="E13" s="49" t="s">
        <v>691</v>
      </c>
      <c r="F13" s="50">
        <v>1000</v>
      </c>
      <c r="G13" s="51">
        <v>50</v>
      </c>
      <c r="H13" s="51">
        <v>30</v>
      </c>
      <c r="I13" s="51">
        <v>5000</v>
      </c>
    </row>
    <row r="14" spans="1:9" x14ac:dyDescent="0.3">
      <c r="A14" s="17" t="s">
        <v>680</v>
      </c>
      <c r="B14" s="37">
        <v>5000</v>
      </c>
      <c r="C14" s="17" t="s">
        <v>681</v>
      </c>
    </row>
    <row r="15" spans="1:9" x14ac:dyDescent="0.3">
      <c r="E15" s="1" t="s">
        <v>692</v>
      </c>
    </row>
    <row r="16" spans="1:9" x14ac:dyDescent="0.3">
      <c r="A16" s="1" t="s">
        <v>682</v>
      </c>
      <c r="E16" t="s">
        <v>693</v>
      </c>
    </row>
    <row r="17" spans="1:9" x14ac:dyDescent="0.3">
      <c r="A17" s="35" t="s">
        <v>386</v>
      </c>
      <c r="B17" s="35" t="s">
        <v>67</v>
      </c>
      <c r="C17" s="35" t="s">
        <v>74</v>
      </c>
      <c r="E17" s="41" t="s">
        <v>694</v>
      </c>
    </row>
    <row r="18" spans="1:9" x14ac:dyDescent="0.3">
      <c r="A18" s="17" t="s">
        <v>683</v>
      </c>
      <c r="B18" s="17">
        <f>B11*B12</f>
        <v>50000</v>
      </c>
      <c r="C18" s="39">
        <f>B11*B12</f>
        <v>50000</v>
      </c>
      <c r="E18" t="s">
        <v>695</v>
      </c>
    </row>
    <row r="19" spans="1:9" x14ac:dyDescent="0.3">
      <c r="A19" s="17" t="s">
        <v>684</v>
      </c>
      <c r="B19" s="17">
        <f>B11*B13+B14</f>
        <v>35000</v>
      </c>
      <c r="C19" s="39">
        <f>B11*B13+B14</f>
        <v>35000</v>
      </c>
      <c r="E19" t="s">
        <v>696</v>
      </c>
    </row>
    <row r="20" spans="1:9" x14ac:dyDescent="0.3">
      <c r="A20" s="17" t="s">
        <v>685</v>
      </c>
      <c r="B20" s="22">
        <f>C18-C19</f>
        <v>15000</v>
      </c>
      <c r="C20" s="39">
        <f>C18-C19</f>
        <v>15000</v>
      </c>
      <c r="E20" t="s">
        <v>697</v>
      </c>
    </row>
    <row r="21" spans="1:9" x14ac:dyDescent="0.3">
      <c r="A21" s="17" t="s">
        <v>686</v>
      </c>
      <c r="B21" s="17">
        <f>C20/C18</f>
        <v>0.3</v>
      </c>
      <c r="C21" s="40">
        <f>C20/C18</f>
        <v>0.3</v>
      </c>
      <c r="E21" t="s">
        <v>698</v>
      </c>
    </row>
    <row r="24" spans="1:9" ht="25.05" customHeight="1" x14ac:dyDescent="0.35">
      <c r="A24" s="174" t="s">
        <v>699</v>
      </c>
      <c r="B24" s="128"/>
      <c r="C24" s="128"/>
      <c r="D24" s="128"/>
      <c r="E24" s="128"/>
      <c r="F24" s="128"/>
      <c r="G24" s="128"/>
      <c r="H24" s="128"/>
      <c r="I24" s="128"/>
    </row>
    <row r="26" spans="1:9" x14ac:dyDescent="0.3">
      <c r="A26" s="1" t="s">
        <v>670</v>
      </c>
    </row>
    <row r="27" spans="1:9" x14ac:dyDescent="0.3">
      <c r="A27" s="128" t="s">
        <v>700</v>
      </c>
      <c r="B27" s="128"/>
      <c r="C27" s="128"/>
      <c r="D27" s="128"/>
      <c r="E27" s="128"/>
      <c r="F27" s="128"/>
      <c r="G27" s="128"/>
      <c r="H27" s="128"/>
      <c r="I27" s="128"/>
    </row>
    <row r="29" spans="1:9" x14ac:dyDescent="0.3">
      <c r="A29" s="1" t="s">
        <v>701</v>
      </c>
      <c r="E29" s="1" t="s">
        <v>710</v>
      </c>
    </row>
    <row r="30" spans="1:9" x14ac:dyDescent="0.3">
      <c r="A30" s="35" t="s">
        <v>673</v>
      </c>
      <c r="B30" s="35" t="s">
        <v>387</v>
      </c>
      <c r="C30" s="35" t="s">
        <v>6</v>
      </c>
      <c r="E30" s="35" t="s">
        <v>711</v>
      </c>
      <c r="F30" s="35" t="s">
        <v>712</v>
      </c>
      <c r="G30" s="35" t="s">
        <v>713</v>
      </c>
      <c r="H30" s="35" t="s">
        <v>714</v>
      </c>
    </row>
    <row r="31" spans="1:9" x14ac:dyDescent="0.3">
      <c r="A31" s="17" t="s">
        <v>702</v>
      </c>
      <c r="B31" s="37">
        <v>100000</v>
      </c>
      <c r="C31" s="17" t="s">
        <v>703</v>
      </c>
      <c r="E31" s="17" t="s">
        <v>715</v>
      </c>
      <c r="F31" s="17" t="s">
        <v>716</v>
      </c>
      <c r="G31" s="22">
        <v>400</v>
      </c>
      <c r="H31" s="17" t="s">
        <v>717</v>
      </c>
    </row>
    <row r="32" spans="1:9" x14ac:dyDescent="0.3">
      <c r="A32" s="17" t="s">
        <v>704</v>
      </c>
      <c r="B32" s="53">
        <v>0.05</v>
      </c>
      <c r="C32" s="17" t="s">
        <v>705</v>
      </c>
      <c r="E32" s="17" t="s">
        <v>718</v>
      </c>
      <c r="F32" s="17" t="s">
        <v>716</v>
      </c>
      <c r="G32" s="22">
        <v>500</v>
      </c>
      <c r="H32" s="17" t="s">
        <v>719</v>
      </c>
    </row>
    <row r="33" spans="1:9" x14ac:dyDescent="0.3">
      <c r="A33" s="17" t="s">
        <v>706</v>
      </c>
      <c r="B33" s="54">
        <v>30</v>
      </c>
      <c r="C33" s="17" t="s">
        <v>707</v>
      </c>
      <c r="E33" s="17" t="s">
        <v>720</v>
      </c>
      <c r="F33" s="17" t="s">
        <v>716</v>
      </c>
      <c r="G33" s="22">
        <v>600</v>
      </c>
      <c r="H33" s="17" t="s">
        <v>721</v>
      </c>
    </row>
    <row r="34" spans="1:9" x14ac:dyDescent="0.3">
      <c r="A34" s="17" t="s">
        <v>708</v>
      </c>
      <c r="B34" s="55">
        <f>PMT(B32/12,B33*12,-B31,0)</f>
        <v>536.82162301213907</v>
      </c>
      <c r="C34" s="17" t="s">
        <v>709</v>
      </c>
    </row>
    <row r="35" spans="1:9" x14ac:dyDescent="0.3">
      <c r="E35" s="1" t="s">
        <v>692</v>
      </c>
    </row>
    <row r="36" spans="1:9" x14ac:dyDescent="0.3">
      <c r="A36" s="202" t="s">
        <v>1499</v>
      </c>
      <c r="D36" s="71"/>
      <c r="E36" t="s">
        <v>722</v>
      </c>
    </row>
    <row r="37" spans="1:9" x14ac:dyDescent="0.3">
      <c r="A37" t="s">
        <v>790</v>
      </c>
      <c r="B37" s="16"/>
      <c r="E37" t="s">
        <v>723</v>
      </c>
    </row>
    <row r="38" spans="1:9" x14ac:dyDescent="0.3">
      <c r="A38" t="s">
        <v>791</v>
      </c>
      <c r="E38" t="s">
        <v>724</v>
      </c>
    </row>
    <row r="39" spans="1:9" x14ac:dyDescent="0.3">
      <c r="A39" t="s">
        <v>190</v>
      </c>
      <c r="B39" s="71"/>
      <c r="E39" t="s">
        <v>725</v>
      </c>
    </row>
    <row r="40" spans="1:9" x14ac:dyDescent="0.3">
      <c r="A40" t="s">
        <v>732</v>
      </c>
      <c r="E40" t="s">
        <v>726</v>
      </c>
    </row>
    <row r="43" spans="1:9" ht="25.05" customHeight="1" x14ac:dyDescent="0.35">
      <c r="A43" s="179" t="s">
        <v>727</v>
      </c>
      <c r="B43" s="128"/>
      <c r="C43" s="128"/>
      <c r="D43" s="128"/>
      <c r="E43" s="128"/>
      <c r="F43" s="128"/>
      <c r="G43" s="128"/>
      <c r="H43" s="128"/>
      <c r="I43" s="128"/>
    </row>
    <row r="45" spans="1:9" x14ac:dyDescent="0.3">
      <c r="A45" s="1" t="s">
        <v>670</v>
      </c>
    </row>
    <row r="46" spans="1:9" x14ac:dyDescent="0.3">
      <c r="A46" s="128" t="s">
        <v>728</v>
      </c>
      <c r="B46" s="128"/>
      <c r="C46" s="128"/>
      <c r="D46" s="128"/>
      <c r="E46" s="128"/>
      <c r="F46" s="128"/>
      <c r="G46" s="128"/>
      <c r="H46" s="128"/>
      <c r="I46" s="128"/>
    </row>
    <row r="48" spans="1:9" x14ac:dyDescent="0.3">
      <c r="A48" s="1" t="s">
        <v>729</v>
      </c>
      <c r="D48" s="1" t="s">
        <v>733</v>
      </c>
      <c r="G48" s="1" t="s">
        <v>692</v>
      </c>
    </row>
    <row r="49" spans="1:9" x14ac:dyDescent="0.3">
      <c r="A49" s="35" t="s">
        <v>673</v>
      </c>
      <c r="B49" s="35" t="s">
        <v>387</v>
      </c>
      <c r="D49" s="17" t="s">
        <v>734</v>
      </c>
      <c r="E49" s="57">
        <f>B53</f>
        <v>103053.96056109238</v>
      </c>
      <c r="G49" t="s">
        <v>736</v>
      </c>
    </row>
    <row r="50" spans="1:9" x14ac:dyDescent="0.3">
      <c r="A50" s="17" t="s">
        <v>730</v>
      </c>
      <c r="B50" s="37">
        <v>10000</v>
      </c>
      <c r="D50" s="58">
        <v>0.04</v>
      </c>
      <c r="E50" s="81"/>
      <c r="G50" t="s">
        <v>737</v>
      </c>
    </row>
    <row r="51" spans="1:9" x14ac:dyDescent="0.3">
      <c r="A51" s="17" t="s">
        <v>731</v>
      </c>
      <c r="B51" s="56">
        <v>0.08</v>
      </c>
      <c r="D51" s="58">
        <v>0.05</v>
      </c>
      <c r="E51" s="81"/>
      <c r="G51" t="s">
        <v>738</v>
      </c>
    </row>
    <row r="52" spans="1:9" x14ac:dyDescent="0.3">
      <c r="A52" s="17" t="s">
        <v>190</v>
      </c>
      <c r="B52" s="54">
        <v>10</v>
      </c>
      <c r="D52" s="58">
        <v>0.06</v>
      </c>
      <c r="E52" s="81"/>
      <c r="G52" t="s">
        <v>739</v>
      </c>
    </row>
    <row r="53" spans="1:9" x14ac:dyDescent="0.3">
      <c r="A53" s="17" t="s">
        <v>732</v>
      </c>
      <c r="B53" s="55">
        <f>FV(B51/12,B52,-B50,0)</f>
        <v>103053.96056109238</v>
      </c>
      <c r="D53" s="58">
        <v>7.0000000000000007E-2</v>
      </c>
      <c r="E53" s="81"/>
      <c r="G53" t="s">
        <v>740</v>
      </c>
    </row>
    <row r="54" spans="1:9" x14ac:dyDescent="0.3">
      <c r="D54" s="58">
        <v>0.08</v>
      </c>
      <c r="E54" s="81"/>
    </row>
    <row r="55" spans="1:9" x14ac:dyDescent="0.3">
      <c r="D55" s="58">
        <v>0.09</v>
      </c>
      <c r="E55" s="81"/>
      <c r="G55" s="23" t="s">
        <v>741</v>
      </c>
    </row>
    <row r="56" spans="1:9" x14ac:dyDescent="0.3">
      <c r="D56" s="58">
        <v>0.1</v>
      </c>
      <c r="E56" s="81"/>
    </row>
    <row r="57" spans="1:9" x14ac:dyDescent="0.3">
      <c r="D57" s="58">
        <v>0.12</v>
      </c>
      <c r="E57" s="81"/>
    </row>
    <row r="60" spans="1:9" ht="25.05" customHeight="1" x14ac:dyDescent="0.35">
      <c r="A60" s="180" t="s">
        <v>742</v>
      </c>
      <c r="B60" s="128"/>
      <c r="C60" s="128"/>
      <c r="D60" s="128"/>
      <c r="E60" s="128"/>
      <c r="F60" s="128"/>
      <c r="G60" s="128"/>
      <c r="H60" s="128"/>
      <c r="I60" s="128"/>
    </row>
    <row r="62" spans="1:9" x14ac:dyDescent="0.3">
      <c r="A62" s="1" t="s">
        <v>670</v>
      </c>
    </row>
    <row r="63" spans="1:9" x14ac:dyDescent="0.3">
      <c r="A63" s="128" t="s">
        <v>743</v>
      </c>
      <c r="B63" s="128"/>
      <c r="C63" s="128"/>
      <c r="D63" s="128"/>
      <c r="E63" s="128"/>
      <c r="F63" s="128"/>
      <c r="G63" s="128"/>
      <c r="H63" s="128"/>
      <c r="I63" s="128"/>
    </row>
    <row r="65" spans="1:9" x14ac:dyDescent="0.3">
      <c r="A65" s="1" t="s">
        <v>701</v>
      </c>
      <c r="D65" s="1" t="s">
        <v>744</v>
      </c>
      <c r="E65" s="137" t="s">
        <v>745</v>
      </c>
      <c r="F65" s="128"/>
      <c r="G65" s="128"/>
      <c r="H65" s="128"/>
      <c r="I65" s="128"/>
    </row>
    <row r="66" spans="1:9" x14ac:dyDescent="0.3">
      <c r="A66" s="35" t="s">
        <v>673</v>
      </c>
      <c r="B66" s="35" t="s">
        <v>387</v>
      </c>
      <c r="D66" s="62">
        <f>B70</f>
        <v>1288.6028029710171</v>
      </c>
      <c r="E66" s="63">
        <v>15</v>
      </c>
      <c r="F66" s="63">
        <v>20</v>
      </c>
      <c r="G66" s="63">
        <v>25</v>
      </c>
      <c r="H66" s="63">
        <v>30</v>
      </c>
      <c r="I66" s="63">
        <v>35</v>
      </c>
    </row>
    <row r="67" spans="1:9" x14ac:dyDescent="0.3">
      <c r="A67" s="17" t="s">
        <v>702</v>
      </c>
      <c r="B67" s="37">
        <v>200000</v>
      </c>
      <c r="C67" s="61" t="s">
        <v>746</v>
      </c>
      <c r="D67" s="64">
        <v>0.04</v>
      </c>
      <c r="E67" s="59" t="s">
        <v>735</v>
      </c>
      <c r="F67" s="59" t="s">
        <v>735</v>
      </c>
      <c r="G67" s="59" t="s">
        <v>735</v>
      </c>
      <c r="H67" s="59" t="s">
        <v>735</v>
      </c>
      <c r="I67" s="59" t="s">
        <v>735</v>
      </c>
    </row>
    <row r="68" spans="1:9" x14ac:dyDescent="0.3">
      <c r="A68" s="17" t="s">
        <v>734</v>
      </c>
      <c r="B68" s="53">
        <v>0.06</v>
      </c>
      <c r="C68" s="61" t="s">
        <v>747</v>
      </c>
      <c r="D68" s="64">
        <v>0.05</v>
      </c>
      <c r="E68" s="59" t="s">
        <v>735</v>
      </c>
      <c r="F68" s="59" t="s">
        <v>735</v>
      </c>
      <c r="G68" s="59" t="s">
        <v>735</v>
      </c>
      <c r="H68" s="59" t="s">
        <v>735</v>
      </c>
      <c r="I68" s="59" t="s">
        <v>735</v>
      </c>
    </row>
    <row r="69" spans="1:9" x14ac:dyDescent="0.3">
      <c r="A69" s="17" t="s">
        <v>706</v>
      </c>
      <c r="B69" s="54">
        <v>25</v>
      </c>
      <c r="C69" s="60" t="s">
        <v>748</v>
      </c>
      <c r="D69" s="64">
        <v>0.06</v>
      </c>
      <c r="E69" s="59" t="s">
        <v>735</v>
      </c>
      <c r="F69" s="59" t="s">
        <v>735</v>
      </c>
      <c r="G69" s="59" t="s">
        <v>735</v>
      </c>
      <c r="H69" s="59" t="s">
        <v>735</v>
      </c>
      <c r="I69" s="59" t="s">
        <v>735</v>
      </c>
    </row>
    <row r="70" spans="1:9" x14ac:dyDescent="0.3">
      <c r="A70" s="17" t="s">
        <v>708</v>
      </c>
      <c r="B70" s="55">
        <f>-PMT(B68/12,B69*12,B67)</f>
        <v>1288.6028029710171</v>
      </c>
      <c r="C70" s="60"/>
      <c r="D70" s="64">
        <v>7.0000000000000007E-2</v>
      </c>
      <c r="E70" s="59" t="s">
        <v>735</v>
      </c>
      <c r="F70" s="59" t="s">
        <v>735</v>
      </c>
      <c r="G70" s="59" t="s">
        <v>735</v>
      </c>
      <c r="H70" s="59" t="s">
        <v>735</v>
      </c>
      <c r="I70" s="59" t="s">
        <v>735</v>
      </c>
    </row>
    <row r="71" spans="1:9" x14ac:dyDescent="0.3">
      <c r="C71" s="60"/>
      <c r="D71" s="64">
        <v>0.08</v>
      </c>
      <c r="E71" s="59" t="s">
        <v>735</v>
      </c>
      <c r="F71" s="59" t="s">
        <v>735</v>
      </c>
      <c r="G71" s="59" t="s">
        <v>735</v>
      </c>
      <c r="H71" s="59" t="s">
        <v>735</v>
      </c>
      <c r="I71" s="59" t="s">
        <v>735</v>
      </c>
    </row>
    <row r="72" spans="1:9" x14ac:dyDescent="0.3">
      <c r="C72" s="60"/>
      <c r="D72" s="64">
        <v>0.09</v>
      </c>
      <c r="E72" s="59" t="s">
        <v>735</v>
      </c>
      <c r="F72" s="59" t="s">
        <v>735</v>
      </c>
      <c r="G72" s="59" t="s">
        <v>735</v>
      </c>
      <c r="H72" s="59" t="s">
        <v>735</v>
      </c>
      <c r="I72" s="59" t="s">
        <v>735</v>
      </c>
    </row>
    <row r="74" spans="1:9" x14ac:dyDescent="0.3">
      <c r="A74" s="1" t="s">
        <v>749</v>
      </c>
    </row>
    <row r="75" spans="1:9" x14ac:dyDescent="0.3">
      <c r="A75" t="s">
        <v>750</v>
      </c>
    </row>
    <row r="76" spans="1:9" x14ac:dyDescent="0.3">
      <c r="A76" t="s">
        <v>737</v>
      </c>
    </row>
    <row r="77" spans="1:9" x14ac:dyDescent="0.3">
      <c r="A77" t="s">
        <v>751</v>
      </c>
    </row>
    <row r="78" spans="1:9" x14ac:dyDescent="0.3">
      <c r="A78" t="s">
        <v>752</v>
      </c>
    </row>
    <row r="79" spans="1:9" x14ac:dyDescent="0.3">
      <c r="A79" t="s">
        <v>753</v>
      </c>
    </row>
    <row r="81" spans="1:9" x14ac:dyDescent="0.3">
      <c r="A81" s="181" t="s">
        <v>754</v>
      </c>
      <c r="B81" s="128"/>
      <c r="C81" s="128"/>
      <c r="D81" s="128"/>
      <c r="E81" s="128"/>
      <c r="F81" s="128"/>
      <c r="G81" s="128"/>
      <c r="H81" s="128"/>
      <c r="I81" s="128"/>
    </row>
    <row r="84" spans="1:9" ht="25.05" customHeight="1" x14ac:dyDescent="0.35">
      <c r="A84" s="175" t="s">
        <v>755</v>
      </c>
      <c r="B84" s="128"/>
      <c r="C84" s="128"/>
      <c r="D84" s="128"/>
      <c r="E84" s="128"/>
      <c r="F84" s="128"/>
      <c r="G84" s="128"/>
      <c r="H84" s="128"/>
      <c r="I84" s="128"/>
    </row>
    <row r="86" spans="1:9" x14ac:dyDescent="0.3">
      <c r="A86" s="35" t="s">
        <v>756</v>
      </c>
      <c r="B86" s="69" t="s">
        <v>757</v>
      </c>
      <c r="C86" s="69" t="s">
        <v>758</v>
      </c>
    </row>
    <row r="87" spans="1:9" ht="43.2" x14ac:dyDescent="0.3">
      <c r="A87" s="19" t="s">
        <v>759</v>
      </c>
      <c r="B87" s="70" t="s">
        <v>760</v>
      </c>
      <c r="C87" s="70" t="s">
        <v>761</v>
      </c>
    </row>
    <row r="88" spans="1:9" ht="28.8" x14ac:dyDescent="0.3">
      <c r="A88" s="66" t="s">
        <v>762</v>
      </c>
      <c r="B88" s="70" t="s">
        <v>763</v>
      </c>
      <c r="C88" s="70" t="s">
        <v>764</v>
      </c>
    </row>
    <row r="89" spans="1:9" ht="43.2" x14ac:dyDescent="0.3">
      <c r="A89" s="67" t="s">
        <v>765</v>
      </c>
      <c r="B89" s="70" t="s">
        <v>766</v>
      </c>
      <c r="C89" s="70" t="s">
        <v>767</v>
      </c>
    </row>
    <row r="90" spans="1:9" ht="28.8" x14ac:dyDescent="0.3">
      <c r="A90" s="68" t="s">
        <v>768</v>
      </c>
      <c r="B90" s="70" t="s">
        <v>769</v>
      </c>
      <c r="C90" s="70" t="s">
        <v>770</v>
      </c>
    </row>
    <row r="93" spans="1:9" ht="25.05" customHeight="1" x14ac:dyDescent="0.35">
      <c r="A93" s="176" t="s">
        <v>771</v>
      </c>
      <c r="B93" s="128"/>
      <c r="C93" s="128"/>
      <c r="D93" s="128"/>
      <c r="E93" s="128"/>
      <c r="F93" s="128"/>
      <c r="G93" s="128"/>
      <c r="H93" s="128"/>
      <c r="I93" s="128"/>
    </row>
    <row r="95" spans="1:9" x14ac:dyDescent="0.3">
      <c r="A95" s="1" t="s">
        <v>772</v>
      </c>
    </row>
    <row r="97" spans="1:9" x14ac:dyDescent="0.3">
      <c r="A97" s="35" t="s">
        <v>711</v>
      </c>
      <c r="B97" s="35" t="s">
        <v>6</v>
      </c>
      <c r="C97" s="35" t="s">
        <v>773</v>
      </c>
    </row>
    <row r="98" spans="1:9" ht="43.2" x14ac:dyDescent="0.3">
      <c r="A98" s="17" t="s">
        <v>774</v>
      </c>
      <c r="B98" s="70" t="s">
        <v>775</v>
      </c>
      <c r="C98" s="21" t="s">
        <v>762</v>
      </c>
    </row>
    <row r="99" spans="1:9" ht="43.2" x14ac:dyDescent="0.3">
      <c r="A99" s="17" t="s">
        <v>776</v>
      </c>
      <c r="B99" s="70" t="s">
        <v>777</v>
      </c>
      <c r="C99" s="21" t="s">
        <v>765</v>
      </c>
    </row>
    <row r="100" spans="1:9" ht="43.2" x14ac:dyDescent="0.3">
      <c r="A100" s="17" t="s">
        <v>778</v>
      </c>
      <c r="B100" s="70" t="s">
        <v>779</v>
      </c>
      <c r="C100" s="21" t="s">
        <v>759</v>
      </c>
    </row>
    <row r="101" spans="1:9" ht="57.6" x14ac:dyDescent="0.3">
      <c r="A101" s="17" t="s">
        <v>780</v>
      </c>
      <c r="B101" s="70" t="s">
        <v>781</v>
      </c>
      <c r="C101" s="21" t="s">
        <v>768</v>
      </c>
    </row>
    <row r="102" spans="1:9" ht="28.8" x14ac:dyDescent="0.3">
      <c r="A102" s="17" t="s">
        <v>782</v>
      </c>
      <c r="B102" s="70" t="s">
        <v>783</v>
      </c>
      <c r="C102" s="21" t="s">
        <v>762</v>
      </c>
    </row>
    <row r="105" spans="1:9" ht="15.6" x14ac:dyDescent="0.3">
      <c r="A105" s="177" t="s">
        <v>784</v>
      </c>
      <c r="B105" s="128"/>
      <c r="C105" s="128"/>
      <c r="D105" s="128"/>
      <c r="E105" s="128"/>
      <c r="F105" s="128"/>
      <c r="G105" s="128"/>
      <c r="H105" s="128"/>
      <c r="I105" s="128"/>
    </row>
    <row r="107" spans="1:9" x14ac:dyDescent="0.3">
      <c r="A107" t="s">
        <v>785</v>
      </c>
    </row>
    <row r="108" spans="1:9" x14ac:dyDescent="0.3">
      <c r="A108" t="s">
        <v>786</v>
      </c>
    </row>
    <row r="109" spans="1:9" x14ac:dyDescent="0.3">
      <c r="A109" t="s">
        <v>787</v>
      </c>
    </row>
    <row r="110" spans="1:9" x14ac:dyDescent="0.3">
      <c r="A110" t="s">
        <v>788</v>
      </c>
    </row>
    <row r="111" spans="1:9" x14ac:dyDescent="0.3">
      <c r="A111" t="s">
        <v>789</v>
      </c>
    </row>
    <row r="113" spans="1:9" ht="18" x14ac:dyDescent="0.35">
      <c r="A113" s="178" t="s">
        <v>792</v>
      </c>
      <c r="B113" s="128"/>
      <c r="C113" s="128"/>
      <c r="D113" s="128"/>
      <c r="E113" s="128"/>
      <c r="F113" s="128"/>
      <c r="G113" s="128"/>
      <c r="H113" s="128"/>
      <c r="I113" s="128"/>
    </row>
    <row r="115" spans="1:9" x14ac:dyDescent="0.3">
      <c r="A115" s="1" t="s">
        <v>670</v>
      </c>
    </row>
    <row r="116" spans="1:9" x14ac:dyDescent="0.3">
      <c r="A116" t="s">
        <v>793</v>
      </c>
    </row>
    <row r="117" spans="1:9" x14ac:dyDescent="0.3">
      <c r="A117" t="s">
        <v>794</v>
      </c>
    </row>
    <row r="118" spans="1:9" x14ac:dyDescent="0.3">
      <c r="A118" t="s">
        <v>795</v>
      </c>
    </row>
    <row r="121" spans="1:9" x14ac:dyDescent="0.3">
      <c r="A121" s="1" t="s">
        <v>796</v>
      </c>
    </row>
    <row r="122" spans="1:9" x14ac:dyDescent="0.3">
      <c r="A122" s="74" t="s">
        <v>797</v>
      </c>
      <c r="B122" s="74" t="s">
        <v>798</v>
      </c>
      <c r="C122" s="74" t="s">
        <v>799</v>
      </c>
      <c r="D122" s="74" t="s">
        <v>800</v>
      </c>
      <c r="E122" s="74" t="s">
        <v>801</v>
      </c>
      <c r="F122" s="74" t="s">
        <v>802</v>
      </c>
    </row>
    <row r="123" spans="1:9" x14ac:dyDescent="0.3">
      <c r="A123" s="17" t="s">
        <v>803</v>
      </c>
      <c r="B123" s="22"/>
      <c r="C123" s="75">
        <v>0.25</v>
      </c>
      <c r="D123" s="22">
        <f>B123*C123</f>
        <v>0</v>
      </c>
      <c r="E123" s="22">
        <v>5000</v>
      </c>
      <c r="F123" s="22">
        <v>25000</v>
      </c>
    </row>
    <row r="124" spans="1:9" x14ac:dyDescent="0.3">
      <c r="A124" s="17" t="s">
        <v>804</v>
      </c>
      <c r="B124" s="22"/>
      <c r="C124" s="75">
        <v>0.2</v>
      </c>
      <c r="D124" s="22">
        <f>B124*C124</f>
        <v>0</v>
      </c>
      <c r="E124" s="22">
        <v>5000</v>
      </c>
      <c r="F124" s="22">
        <v>20000</v>
      </c>
    </row>
    <row r="125" spans="1:9" x14ac:dyDescent="0.3">
      <c r="A125" s="17" t="s">
        <v>805</v>
      </c>
      <c r="B125" s="22"/>
      <c r="C125" s="75">
        <v>0.35</v>
      </c>
      <c r="D125" s="22">
        <f>B125*C125</f>
        <v>0</v>
      </c>
      <c r="E125" s="22">
        <v>3000</v>
      </c>
      <c r="F125" s="22">
        <v>15000</v>
      </c>
    </row>
    <row r="126" spans="1:9" x14ac:dyDescent="0.3">
      <c r="A126" s="17" t="s">
        <v>806</v>
      </c>
      <c r="B126" s="22"/>
      <c r="C126" s="75">
        <v>0.18</v>
      </c>
      <c r="D126" s="22">
        <f>B126*C126</f>
        <v>0</v>
      </c>
      <c r="E126" s="22">
        <v>5000</v>
      </c>
      <c r="F126" s="22">
        <v>20000</v>
      </c>
    </row>
    <row r="127" spans="1:9" x14ac:dyDescent="0.3">
      <c r="A127" s="17"/>
      <c r="B127" s="17"/>
      <c r="C127" s="17"/>
      <c r="D127" s="17"/>
      <c r="E127" s="17"/>
      <c r="F127" s="17"/>
    </row>
    <row r="128" spans="1:9" x14ac:dyDescent="0.3">
      <c r="A128" s="76" t="s">
        <v>399</v>
      </c>
      <c r="B128" s="37"/>
      <c r="C128" s="28"/>
      <c r="D128" s="37">
        <f>SUM(D123:D126)</f>
        <v>0</v>
      </c>
      <c r="E128" s="28"/>
      <c r="F128" s="28"/>
    </row>
    <row r="130" spans="1:3" x14ac:dyDescent="0.3">
      <c r="A130" s="1" t="s">
        <v>807</v>
      </c>
    </row>
    <row r="131" spans="1:3" x14ac:dyDescent="0.3">
      <c r="A131" t="s">
        <v>808</v>
      </c>
      <c r="B131" s="38">
        <v>50000</v>
      </c>
    </row>
    <row r="132" spans="1:3" x14ac:dyDescent="0.3">
      <c r="A132" t="s">
        <v>809</v>
      </c>
      <c r="B132" s="38">
        <f>B128</f>
        <v>0</v>
      </c>
      <c r="C132" t="s">
        <v>810</v>
      </c>
    </row>
    <row r="133" spans="1:3" x14ac:dyDescent="0.3">
      <c r="A133" t="s">
        <v>811</v>
      </c>
      <c r="B133" s="38">
        <f>B131-B132</f>
        <v>50000</v>
      </c>
      <c r="C133" t="s">
        <v>812</v>
      </c>
    </row>
    <row r="135" spans="1:3" x14ac:dyDescent="0.3">
      <c r="A135" s="5" t="s">
        <v>813</v>
      </c>
    </row>
    <row r="136" spans="1:3" x14ac:dyDescent="0.3">
      <c r="A136" s="72" t="s">
        <v>814</v>
      </c>
      <c r="B136" s="72" t="s">
        <v>387</v>
      </c>
      <c r="C136" s="72" t="s">
        <v>815</v>
      </c>
    </row>
    <row r="137" spans="1:3" x14ac:dyDescent="0.3">
      <c r="A137" t="s">
        <v>816</v>
      </c>
      <c r="B137" t="s">
        <v>817</v>
      </c>
      <c r="C137" t="s">
        <v>818</v>
      </c>
    </row>
    <row r="138" spans="1:3" x14ac:dyDescent="0.3">
      <c r="A138" t="s">
        <v>819</v>
      </c>
      <c r="B138" t="s">
        <v>820</v>
      </c>
      <c r="C138" t="s">
        <v>821</v>
      </c>
    </row>
    <row r="139" spans="1:3" x14ac:dyDescent="0.3">
      <c r="A139" t="s">
        <v>822</v>
      </c>
      <c r="B139" t="s">
        <v>823</v>
      </c>
      <c r="C139" t="s">
        <v>824</v>
      </c>
    </row>
    <row r="141" spans="1:3" x14ac:dyDescent="0.3">
      <c r="A141" t="s">
        <v>825</v>
      </c>
    </row>
    <row r="142" spans="1:3" x14ac:dyDescent="0.3">
      <c r="A142" t="s">
        <v>826</v>
      </c>
      <c r="C142" t="s">
        <v>827</v>
      </c>
    </row>
    <row r="143" spans="1:3" x14ac:dyDescent="0.3">
      <c r="A143" t="s">
        <v>828</v>
      </c>
      <c r="C143" t="s">
        <v>829</v>
      </c>
    </row>
    <row r="144" spans="1:3" x14ac:dyDescent="0.3">
      <c r="A144" t="s">
        <v>830</v>
      </c>
      <c r="C144" t="s">
        <v>831</v>
      </c>
    </row>
    <row r="145" spans="1:3" x14ac:dyDescent="0.3">
      <c r="A145" t="s">
        <v>832</v>
      </c>
      <c r="C145" t="s">
        <v>833</v>
      </c>
    </row>
    <row r="146" spans="1:3" x14ac:dyDescent="0.3">
      <c r="A146" t="s">
        <v>834</v>
      </c>
      <c r="C146" t="s">
        <v>835</v>
      </c>
    </row>
    <row r="147" spans="1:3" x14ac:dyDescent="0.3">
      <c r="A147" t="s">
        <v>836</v>
      </c>
      <c r="C147" t="s">
        <v>837</v>
      </c>
    </row>
    <row r="148" spans="1:3" x14ac:dyDescent="0.3">
      <c r="A148" t="s">
        <v>838</v>
      </c>
      <c r="C148" t="s">
        <v>839</v>
      </c>
    </row>
    <row r="149" spans="1:3" x14ac:dyDescent="0.3">
      <c r="A149" t="s">
        <v>840</v>
      </c>
      <c r="C149" t="s">
        <v>841</v>
      </c>
    </row>
    <row r="150" spans="1:3" x14ac:dyDescent="0.3">
      <c r="A150" t="s">
        <v>842</v>
      </c>
      <c r="C150" t="s">
        <v>843</v>
      </c>
    </row>
    <row r="151" spans="1:3" x14ac:dyDescent="0.3">
      <c r="A151" t="s">
        <v>844</v>
      </c>
      <c r="C151" t="s">
        <v>845</v>
      </c>
    </row>
    <row r="153" spans="1:3" x14ac:dyDescent="0.3">
      <c r="A153" s="73" t="s">
        <v>846</v>
      </c>
    </row>
    <row r="154" spans="1:3" x14ac:dyDescent="0.3">
      <c r="A154" t="s">
        <v>847</v>
      </c>
    </row>
    <row r="155" spans="1:3" x14ac:dyDescent="0.3">
      <c r="A155" t="s">
        <v>848</v>
      </c>
    </row>
    <row r="156" spans="1:3" x14ac:dyDescent="0.3">
      <c r="A156" t="s">
        <v>849</v>
      </c>
    </row>
    <row r="157" spans="1:3" x14ac:dyDescent="0.3">
      <c r="A157" t="s">
        <v>850</v>
      </c>
    </row>
    <row r="158" spans="1:3" x14ac:dyDescent="0.3">
      <c r="A158" t="s">
        <v>851</v>
      </c>
    </row>
    <row r="159" spans="1:3" x14ac:dyDescent="0.3">
      <c r="A159" t="s">
        <v>852</v>
      </c>
    </row>
    <row r="160" spans="1:3" x14ac:dyDescent="0.3">
      <c r="A160" t="s">
        <v>853</v>
      </c>
    </row>
    <row r="161" spans="1:3" x14ac:dyDescent="0.3">
      <c r="A161" t="s">
        <v>854</v>
      </c>
    </row>
    <row r="163" spans="1:3" x14ac:dyDescent="0.3">
      <c r="A163" s="5" t="s">
        <v>855</v>
      </c>
    </row>
    <row r="164" spans="1:3" x14ac:dyDescent="0.3">
      <c r="A164" s="72" t="s">
        <v>856</v>
      </c>
      <c r="B164" s="72" t="s">
        <v>857</v>
      </c>
      <c r="C164" s="72" t="s">
        <v>858</v>
      </c>
    </row>
    <row r="165" spans="1:3" x14ac:dyDescent="0.3">
      <c r="A165" t="s">
        <v>803</v>
      </c>
      <c r="B165" t="s">
        <v>859</v>
      </c>
      <c r="C165" t="s">
        <v>860</v>
      </c>
    </row>
    <row r="166" spans="1:3" x14ac:dyDescent="0.3">
      <c r="A166" t="s">
        <v>804</v>
      </c>
      <c r="B166" t="s">
        <v>861</v>
      </c>
      <c r="C166" t="s">
        <v>862</v>
      </c>
    </row>
    <row r="167" spans="1:3" x14ac:dyDescent="0.3">
      <c r="A167" t="s">
        <v>805</v>
      </c>
      <c r="B167" t="s">
        <v>863</v>
      </c>
      <c r="C167" t="s">
        <v>864</v>
      </c>
    </row>
    <row r="168" spans="1:3" x14ac:dyDescent="0.3">
      <c r="A168" t="s">
        <v>806</v>
      </c>
      <c r="B168" t="s">
        <v>861</v>
      </c>
      <c r="C168" t="s">
        <v>865</v>
      </c>
    </row>
    <row r="169" spans="1:3" x14ac:dyDescent="0.3">
      <c r="A169" t="s">
        <v>550</v>
      </c>
      <c r="B169" t="s">
        <v>866</v>
      </c>
      <c r="C169" t="s">
        <v>867</v>
      </c>
    </row>
    <row r="170" spans="1:3" x14ac:dyDescent="0.3">
      <c r="A170" s="42" t="s">
        <v>868</v>
      </c>
      <c r="B170" s="42" t="s">
        <v>869</v>
      </c>
      <c r="C170" s="42" t="s">
        <v>870</v>
      </c>
    </row>
    <row r="171" spans="1:3" x14ac:dyDescent="0.3">
      <c r="A171" s="42"/>
      <c r="B171" s="42"/>
      <c r="C171" s="42"/>
    </row>
    <row r="172" spans="1:3" x14ac:dyDescent="0.3">
      <c r="A172" s="6" t="s">
        <v>871</v>
      </c>
    </row>
    <row r="173" spans="1:3" x14ac:dyDescent="0.3">
      <c r="A173" t="s">
        <v>872</v>
      </c>
    </row>
    <row r="174" spans="1:3" x14ac:dyDescent="0.3">
      <c r="A174" t="s">
        <v>873</v>
      </c>
    </row>
    <row r="175" spans="1:3" x14ac:dyDescent="0.3">
      <c r="A175" t="s">
        <v>874</v>
      </c>
    </row>
    <row r="176" spans="1:3" x14ac:dyDescent="0.3">
      <c r="A176" t="s">
        <v>875</v>
      </c>
    </row>
    <row r="177" spans="1:6" x14ac:dyDescent="0.3">
      <c r="A177" t="s">
        <v>876</v>
      </c>
    </row>
    <row r="178" spans="1:6" x14ac:dyDescent="0.3">
      <c r="A178" t="s">
        <v>877</v>
      </c>
    </row>
    <row r="180" spans="1:6" x14ac:dyDescent="0.3">
      <c r="A180" s="72" t="s">
        <v>878</v>
      </c>
    </row>
    <row r="181" spans="1:6" x14ac:dyDescent="0.3">
      <c r="A181" s="65" t="s">
        <v>856</v>
      </c>
      <c r="B181" s="65" t="s">
        <v>879</v>
      </c>
      <c r="C181" s="65" t="s">
        <v>880</v>
      </c>
      <c r="D181" s="65" t="s">
        <v>857</v>
      </c>
      <c r="E181" s="65" t="s">
        <v>881</v>
      </c>
      <c r="F181" s="65" t="s">
        <v>882</v>
      </c>
    </row>
    <row r="182" spans="1:6" x14ac:dyDescent="0.3">
      <c r="A182" s="17" t="s">
        <v>803</v>
      </c>
      <c r="B182" s="77">
        <v>10000</v>
      </c>
      <c r="C182" s="79">
        <v>2500</v>
      </c>
      <c r="D182" s="79">
        <v>25000</v>
      </c>
      <c r="E182" s="79">
        <v>6250</v>
      </c>
      <c r="F182" s="77">
        <v>3750</v>
      </c>
    </row>
    <row r="183" spans="1:6" x14ac:dyDescent="0.3">
      <c r="A183" s="17" t="s">
        <v>804</v>
      </c>
      <c r="B183" s="77">
        <v>15000</v>
      </c>
      <c r="C183" s="79">
        <v>3000</v>
      </c>
      <c r="D183" s="79">
        <v>5000</v>
      </c>
      <c r="E183" s="79">
        <v>1000</v>
      </c>
      <c r="F183" s="77">
        <v>2000</v>
      </c>
    </row>
    <row r="184" spans="1:6" x14ac:dyDescent="0.3">
      <c r="A184" s="17" t="s">
        <v>805</v>
      </c>
      <c r="B184" s="77">
        <v>12000</v>
      </c>
      <c r="C184" s="79">
        <v>4200</v>
      </c>
      <c r="D184" s="79">
        <v>15000</v>
      </c>
      <c r="E184" s="79">
        <v>5250</v>
      </c>
      <c r="F184" s="77">
        <v>1050</v>
      </c>
    </row>
    <row r="185" spans="1:6" x14ac:dyDescent="0.3">
      <c r="A185" s="17" t="s">
        <v>806</v>
      </c>
      <c r="B185" s="77">
        <v>13000</v>
      </c>
      <c r="C185" s="79">
        <v>2340</v>
      </c>
      <c r="D185" s="79">
        <v>5000</v>
      </c>
      <c r="E185" s="17">
        <v>900</v>
      </c>
      <c r="F185" s="77">
        <v>1440</v>
      </c>
    </row>
    <row r="186" spans="1:6" x14ac:dyDescent="0.3">
      <c r="A186" s="66" t="s">
        <v>399</v>
      </c>
      <c r="B186" s="78">
        <v>50000</v>
      </c>
      <c r="C186" s="80">
        <v>12040</v>
      </c>
      <c r="D186" s="80">
        <v>50000</v>
      </c>
      <c r="E186" s="80">
        <v>13400</v>
      </c>
      <c r="F186" s="78">
        <v>1360</v>
      </c>
    </row>
    <row r="190" spans="1:6" x14ac:dyDescent="0.3">
      <c r="B190" s="16"/>
    </row>
    <row r="193" spans="1:9" ht="18" x14ac:dyDescent="0.35">
      <c r="A193" s="175" t="s">
        <v>1509</v>
      </c>
      <c r="B193" s="128"/>
      <c r="C193" s="128"/>
      <c r="D193" s="128"/>
      <c r="E193" s="128"/>
      <c r="F193" s="128"/>
      <c r="G193" s="128"/>
      <c r="H193" s="128"/>
      <c r="I193" s="128"/>
    </row>
    <row r="195" spans="1:9" x14ac:dyDescent="0.3">
      <c r="A195" s="203" t="s">
        <v>1510</v>
      </c>
      <c r="B195" s="128"/>
      <c r="C195" s="128"/>
      <c r="D195" s="128"/>
      <c r="E195" s="128"/>
      <c r="F195" s="128"/>
      <c r="G195" s="128"/>
      <c r="H195" s="128"/>
      <c r="I195" s="128"/>
    </row>
    <row r="197" spans="1:9" x14ac:dyDescent="0.3">
      <c r="A197" s="204" t="s">
        <v>1504</v>
      </c>
      <c r="E197" s="204" t="s">
        <v>1517</v>
      </c>
    </row>
    <row r="198" spans="1:9" x14ac:dyDescent="0.3">
      <c r="A198" s="205" t="s">
        <v>673</v>
      </c>
      <c r="B198" s="205" t="s">
        <v>387</v>
      </c>
      <c r="C198" s="205" t="s">
        <v>1511</v>
      </c>
      <c r="E198" s="73" t="s">
        <v>688</v>
      </c>
      <c r="F198" s="73" t="s">
        <v>884</v>
      </c>
      <c r="G198" s="73" t="s">
        <v>1505</v>
      </c>
      <c r="H198" s="73" t="s">
        <v>746</v>
      </c>
      <c r="I198" s="73" t="s">
        <v>190</v>
      </c>
    </row>
    <row r="199" spans="1:9" x14ac:dyDescent="0.3">
      <c r="A199" t="s">
        <v>884</v>
      </c>
      <c r="B199" s="38">
        <v>120000</v>
      </c>
      <c r="C199" t="s">
        <v>1512</v>
      </c>
      <c r="E199" t="s">
        <v>1506</v>
      </c>
      <c r="F199" s="38">
        <v>80000</v>
      </c>
      <c r="G199" s="16">
        <v>0.2</v>
      </c>
      <c r="H199" s="10">
        <v>5.5E-2</v>
      </c>
      <c r="I199">
        <v>4</v>
      </c>
    </row>
    <row r="200" spans="1:9" x14ac:dyDescent="0.3">
      <c r="A200" t="s">
        <v>885</v>
      </c>
      <c r="B200" s="16">
        <v>0.15</v>
      </c>
      <c r="C200" t="s">
        <v>1512</v>
      </c>
      <c r="E200" t="s">
        <v>1507</v>
      </c>
      <c r="F200" s="38">
        <v>120000</v>
      </c>
      <c r="G200" s="16">
        <v>0.15</v>
      </c>
      <c r="H200" s="10">
        <v>6.5000000000000002E-2</v>
      </c>
      <c r="I200">
        <v>5</v>
      </c>
    </row>
    <row r="201" spans="1:9" x14ac:dyDescent="0.3">
      <c r="A201" t="s">
        <v>734</v>
      </c>
      <c r="B201" s="10">
        <v>6.5000000000000002E-2</v>
      </c>
      <c r="C201" t="s">
        <v>1513</v>
      </c>
      <c r="E201" t="s">
        <v>1508</v>
      </c>
      <c r="F201" s="38">
        <v>180000</v>
      </c>
      <c r="G201" s="16">
        <v>0.1</v>
      </c>
      <c r="H201" s="10">
        <v>7.4999999999999997E-2</v>
      </c>
      <c r="I201">
        <v>7</v>
      </c>
    </row>
    <row r="202" spans="1:9" x14ac:dyDescent="0.3">
      <c r="A202" t="s">
        <v>1500</v>
      </c>
      <c r="B202">
        <v>5</v>
      </c>
      <c r="C202" t="s">
        <v>1514</v>
      </c>
    </row>
    <row r="203" spans="1:9" x14ac:dyDescent="0.3">
      <c r="E203" s="1" t="s">
        <v>692</v>
      </c>
    </row>
    <row r="204" spans="1:9" x14ac:dyDescent="0.3">
      <c r="A204" s="204" t="s">
        <v>1515</v>
      </c>
      <c r="E204" t="s">
        <v>1518</v>
      </c>
    </row>
    <row r="205" spans="1:9" x14ac:dyDescent="0.3">
      <c r="A205" s="5" t="s">
        <v>386</v>
      </c>
      <c r="B205" s="5" t="s">
        <v>387</v>
      </c>
      <c r="C205" s="5" t="s">
        <v>67</v>
      </c>
      <c r="E205" s="5" t="s">
        <v>694</v>
      </c>
    </row>
    <row r="206" spans="1:9" x14ac:dyDescent="0.3">
      <c r="A206" t="s">
        <v>1516</v>
      </c>
      <c r="B206" s="207">
        <f ca="1">B199*B200</f>
        <v>0</v>
      </c>
      <c r="C206">
        <f ca="1">B199*B200</f>
        <v>0</v>
      </c>
      <c r="E206" t="s">
        <v>1519</v>
      </c>
    </row>
    <row r="207" spans="1:9" x14ac:dyDescent="0.3">
      <c r="A207" t="s">
        <v>702</v>
      </c>
      <c r="B207" s="207">
        <f ca="1">B199-B206</f>
        <v>0</v>
      </c>
      <c r="C207" s="38">
        <f ca="1">B199-B206</f>
        <v>0</v>
      </c>
      <c r="E207" t="s">
        <v>1520</v>
      </c>
    </row>
    <row r="208" spans="1:9" x14ac:dyDescent="0.3">
      <c r="A208" t="s">
        <v>708</v>
      </c>
      <c r="B208" s="207">
        <f ca="1">-PMT(B201/12,B202*12,B207)</f>
        <v>0</v>
      </c>
      <c r="C208">
        <f ca="1">-PMT(B201/12,B202*12,B207)</f>
        <v>0</v>
      </c>
      <c r="E208" t="s">
        <v>1521</v>
      </c>
    </row>
    <row r="209" spans="1:9" x14ac:dyDescent="0.3">
      <c r="A209" t="s">
        <v>1501</v>
      </c>
      <c r="B209" s="207">
        <f ca="1">B208*B202*12</f>
        <v>0</v>
      </c>
      <c r="C209">
        <f ca="1">B208*B202*12</f>
        <v>0</v>
      </c>
      <c r="E209" t="s">
        <v>1522</v>
      </c>
    </row>
    <row r="210" spans="1:9" x14ac:dyDescent="0.3">
      <c r="A210" t="s">
        <v>1502</v>
      </c>
      <c r="B210" s="207">
        <f ca="1">B209-B207</f>
        <v>0</v>
      </c>
      <c r="C210" s="206">
        <f ca="1">B209-B207</f>
        <v>0</v>
      </c>
    </row>
    <row r="211" spans="1:9" x14ac:dyDescent="0.3">
      <c r="A211" t="s">
        <v>1503</v>
      </c>
      <c r="B211" s="207">
        <f ca="1">B199+B210</f>
        <v>0</v>
      </c>
      <c r="C211" s="206">
        <f ca="1">B199+B210</f>
        <v>0</v>
      </c>
    </row>
    <row r="212" spans="1:9" x14ac:dyDescent="0.3">
      <c r="A212" s="218" t="s">
        <v>1593</v>
      </c>
    </row>
    <row r="213" spans="1:9" ht="15.6" x14ac:dyDescent="0.3">
      <c r="A213" s="208" t="s">
        <v>1523</v>
      </c>
      <c r="B213" s="128"/>
      <c r="C213" s="128"/>
      <c r="D213" s="128"/>
      <c r="E213" s="128"/>
      <c r="F213" s="128"/>
      <c r="G213" s="128"/>
      <c r="H213" s="128"/>
      <c r="I213" s="128"/>
    </row>
    <row r="215" spans="1:9" x14ac:dyDescent="0.3">
      <c r="A215" s="73" t="s">
        <v>711</v>
      </c>
      <c r="B215" s="73" t="s">
        <v>712</v>
      </c>
      <c r="C215" s="73" t="s">
        <v>713</v>
      </c>
      <c r="D215" s="73" t="s">
        <v>714</v>
      </c>
      <c r="E215" s="73" t="s">
        <v>1524</v>
      </c>
      <c r="G215" s="73" t="s">
        <v>1549</v>
      </c>
    </row>
    <row r="216" spans="1:9" x14ac:dyDescent="0.3">
      <c r="A216" t="s">
        <v>1525</v>
      </c>
      <c r="B216" t="s">
        <v>1526</v>
      </c>
      <c r="C216" t="s">
        <v>1527</v>
      </c>
      <c r="D216" t="s">
        <v>1528</v>
      </c>
      <c r="E216" t="s">
        <v>1529</v>
      </c>
      <c r="G216" t="s">
        <v>1550</v>
      </c>
    </row>
    <row r="217" spans="1:9" x14ac:dyDescent="0.3">
      <c r="A217" t="s">
        <v>1530</v>
      </c>
      <c r="B217" t="s">
        <v>1526</v>
      </c>
      <c r="C217" t="s">
        <v>1531</v>
      </c>
      <c r="D217" t="s">
        <v>1532</v>
      </c>
      <c r="E217" t="s">
        <v>1533</v>
      </c>
      <c r="G217" t="s">
        <v>1551</v>
      </c>
    </row>
    <row r="218" spans="1:9" x14ac:dyDescent="0.3">
      <c r="A218" t="s">
        <v>1534</v>
      </c>
      <c r="B218" t="s">
        <v>1535</v>
      </c>
      <c r="C218" t="s">
        <v>1536</v>
      </c>
      <c r="D218" t="s">
        <v>1537</v>
      </c>
      <c r="E218" t="s">
        <v>1538</v>
      </c>
      <c r="G218" t="s">
        <v>1552</v>
      </c>
    </row>
    <row r="219" spans="1:9" x14ac:dyDescent="0.3">
      <c r="A219" t="s">
        <v>1539</v>
      </c>
      <c r="B219" t="s">
        <v>1540</v>
      </c>
      <c r="C219" t="s">
        <v>1541</v>
      </c>
      <c r="D219" t="s">
        <v>1542</v>
      </c>
      <c r="E219" t="s">
        <v>1543</v>
      </c>
      <c r="G219" t="s">
        <v>1553</v>
      </c>
    </row>
    <row r="220" spans="1:9" x14ac:dyDescent="0.3">
      <c r="A220" t="s">
        <v>1544</v>
      </c>
      <c r="B220" t="s">
        <v>1545</v>
      </c>
      <c r="C220" t="s">
        <v>1546</v>
      </c>
      <c r="D220" t="s">
        <v>1547</v>
      </c>
      <c r="E220" t="s">
        <v>1548</v>
      </c>
      <c r="G220" t="s">
        <v>1554</v>
      </c>
    </row>
    <row r="223" spans="1:9" ht="15.6" x14ac:dyDescent="0.3">
      <c r="A223" s="143" t="s">
        <v>1555</v>
      </c>
      <c r="B223" s="128"/>
      <c r="C223" s="128"/>
      <c r="D223" s="128"/>
      <c r="E223" s="128"/>
      <c r="F223" s="128"/>
      <c r="G223" s="128"/>
      <c r="H223" s="128"/>
      <c r="I223" s="128"/>
    </row>
    <row r="225" spans="1:9" x14ac:dyDescent="0.3">
      <c r="A225" s="23" t="s">
        <v>1556</v>
      </c>
      <c r="D225" s="1" t="s">
        <v>692</v>
      </c>
    </row>
    <row r="226" spans="1:9" x14ac:dyDescent="0.3">
      <c r="D226" t="s">
        <v>1557</v>
      </c>
    </row>
    <row r="227" spans="1:9" x14ac:dyDescent="0.3">
      <c r="A227" s="209" t="s">
        <v>734</v>
      </c>
      <c r="B227" s="210">
        <f ca="1">B208</f>
        <v>0</v>
      </c>
      <c r="D227" t="s">
        <v>1558</v>
      </c>
    </row>
    <row r="228" spans="1:9" x14ac:dyDescent="0.3">
      <c r="A228" s="10">
        <v>0.04</v>
      </c>
      <c r="D228" t="s">
        <v>1559</v>
      </c>
    </row>
    <row r="229" spans="1:9" x14ac:dyDescent="0.3">
      <c r="A229" s="10">
        <v>0.05</v>
      </c>
      <c r="D229" t="s">
        <v>1560</v>
      </c>
    </row>
    <row r="230" spans="1:9" x14ac:dyDescent="0.3">
      <c r="A230" s="10">
        <v>0.06</v>
      </c>
      <c r="D230" t="s">
        <v>740</v>
      </c>
    </row>
    <row r="231" spans="1:9" x14ac:dyDescent="0.3">
      <c r="A231" s="10">
        <v>6.5000000000000002E-2</v>
      </c>
    </row>
    <row r="232" spans="1:9" x14ac:dyDescent="0.3">
      <c r="A232" s="10">
        <v>7.0000000000000007E-2</v>
      </c>
      <c r="D232" s="23" t="s">
        <v>1561</v>
      </c>
    </row>
    <row r="233" spans="1:9" x14ac:dyDescent="0.3">
      <c r="A233" s="10">
        <v>0.08</v>
      </c>
    </row>
    <row r="234" spans="1:9" x14ac:dyDescent="0.3">
      <c r="A234" s="10">
        <v>0.09</v>
      </c>
    </row>
    <row r="235" spans="1:9" x14ac:dyDescent="0.3">
      <c r="A235" s="10">
        <v>0.1</v>
      </c>
    </row>
    <row r="238" spans="1:9" ht="15.6" x14ac:dyDescent="0.3">
      <c r="A238" s="211" t="s">
        <v>1562</v>
      </c>
      <c r="B238" s="128"/>
      <c r="C238" s="128"/>
      <c r="D238" s="128"/>
      <c r="E238" s="128"/>
      <c r="F238" s="128"/>
      <c r="G238" s="128"/>
      <c r="H238" s="128"/>
      <c r="I238" s="128"/>
    </row>
    <row r="240" spans="1:9" x14ac:dyDescent="0.3">
      <c r="A240" s="23" t="s">
        <v>1563</v>
      </c>
      <c r="H240" s="1" t="s">
        <v>692</v>
      </c>
    </row>
    <row r="241" spans="1:9" x14ac:dyDescent="0.3">
      <c r="H241" t="s">
        <v>1564</v>
      </c>
    </row>
    <row r="242" spans="1:9" x14ac:dyDescent="0.3">
      <c r="A242" s="212">
        <f ca="1">B208</f>
        <v>0</v>
      </c>
      <c r="B242" s="213">
        <v>3</v>
      </c>
      <c r="C242" s="213">
        <v>4</v>
      </c>
      <c r="D242" s="213">
        <v>5</v>
      </c>
      <c r="E242" s="213">
        <v>6</v>
      </c>
      <c r="F242" s="213">
        <v>7</v>
      </c>
      <c r="H242" t="s">
        <v>1558</v>
      </c>
    </row>
    <row r="243" spans="1:9" x14ac:dyDescent="0.3">
      <c r="A243" s="214">
        <v>0.05</v>
      </c>
      <c r="B243" t="s">
        <v>735</v>
      </c>
      <c r="C243" t="s">
        <v>735</v>
      </c>
      <c r="D243" t="s">
        <v>735</v>
      </c>
      <c r="E243" t="s">
        <v>735</v>
      </c>
      <c r="F243" t="s">
        <v>735</v>
      </c>
      <c r="H243" t="s">
        <v>1565</v>
      </c>
    </row>
    <row r="244" spans="1:9" x14ac:dyDescent="0.3">
      <c r="A244" s="214">
        <v>0.06</v>
      </c>
      <c r="B244" t="s">
        <v>735</v>
      </c>
      <c r="C244" t="s">
        <v>735</v>
      </c>
      <c r="D244" t="s">
        <v>735</v>
      </c>
      <c r="E244" t="s">
        <v>735</v>
      </c>
      <c r="F244" t="s">
        <v>735</v>
      </c>
      <c r="H244" t="s">
        <v>1566</v>
      </c>
    </row>
    <row r="245" spans="1:9" x14ac:dyDescent="0.3">
      <c r="A245" s="214">
        <v>6.5000000000000002E-2</v>
      </c>
      <c r="B245" t="s">
        <v>735</v>
      </c>
      <c r="C245" t="s">
        <v>735</v>
      </c>
      <c r="D245" t="s">
        <v>735</v>
      </c>
      <c r="E245" t="s">
        <v>735</v>
      </c>
      <c r="F245" t="s">
        <v>735</v>
      </c>
      <c r="H245" t="s">
        <v>1567</v>
      </c>
    </row>
    <row r="246" spans="1:9" x14ac:dyDescent="0.3">
      <c r="A246" s="214">
        <v>7.0000000000000007E-2</v>
      </c>
      <c r="B246" t="s">
        <v>735</v>
      </c>
      <c r="C246" t="s">
        <v>735</v>
      </c>
      <c r="D246" t="s">
        <v>735</v>
      </c>
      <c r="E246" t="s">
        <v>735</v>
      </c>
      <c r="F246" t="s">
        <v>735</v>
      </c>
    </row>
    <row r="247" spans="1:9" x14ac:dyDescent="0.3">
      <c r="A247" s="214">
        <v>0.08</v>
      </c>
      <c r="B247" t="s">
        <v>735</v>
      </c>
      <c r="C247" t="s">
        <v>735</v>
      </c>
      <c r="D247" t="s">
        <v>735</v>
      </c>
      <c r="E247" t="s">
        <v>735</v>
      </c>
      <c r="F247" t="s">
        <v>735</v>
      </c>
      <c r="H247" s="23" t="s">
        <v>1568</v>
      </c>
    </row>
    <row r="250" spans="1:9" ht="15.6" x14ac:dyDescent="0.3">
      <c r="A250" s="215" t="s">
        <v>1569</v>
      </c>
      <c r="B250" s="128"/>
      <c r="C250" s="128"/>
      <c r="D250" s="128"/>
      <c r="E250" s="128"/>
      <c r="F250" s="128"/>
      <c r="G250" s="128"/>
      <c r="H250" s="128"/>
      <c r="I250" s="128"/>
    </row>
    <row r="252" spans="1:9" x14ac:dyDescent="0.3">
      <c r="A252" s="216" t="s">
        <v>756</v>
      </c>
      <c r="B252" s="216" t="s">
        <v>1570</v>
      </c>
      <c r="C252" s="216" t="s">
        <v>1571</v>
      </c>
      <c r="D252" s="216" t="s">
        <v>1572</v>
      </c>
    </row>
    <row r="253" spans="1:9" x14ac:dyDescent="0.3">
      <c r="A253" t="s">
        <v>759</v>
      </c>
      <c r="B253" t="s">
        <v>1573</v>
      </c>
      <c r="C253" t="s">
        <v>1574</v>
      </c>
      <c r="D253" t="s">
        <v>1575</v>
      </c>
    </row>
    <row r="254" spans="1:9" x14ac:dyDescent="0.3">
      <c r="A254" t="s">
        <v>762</v>
      </c>
      <c r="B254" t="s">
        <v>1576</v>
      </c>
      <c r="C254" t="s">
        <v>1577</v>
      </c>
      <c r="D254" t="s">
        <v>1578</v>
      </c>
    </row>
    <row r="255" spans="1:9" x14ac:dyDescent="0.3">
      <c r="A255" t="s">
        <v>1579</v>
      </c>
      <c r="B255" t="s">
        <v>1580</v>
      </c>
      <c r="C255" t="s">
        <v>1581</v>
      </c>
      <c r="D255" t="s">
        <v>1582</v>
      </c>
    </row>
    <row r="256" spans="1:9" x14ac:dyDescent="0.3">
      <c r="A256" t="s">
        <v>1583</v>
      </c>
      <c r="B256" t="s">
        <v>1584</v>
      </c>
      <c r="C256" t="s">
        <v>1585</v>
      </c>
      <c r="D256" t="s">
        <v>1586</v>
      </c>
    </row>
    <row r="259" spans="1:1" x14ac:dyDescent="0.3">
      <c r="A259" s="217" t="s">
        <v>1587</v>
      </c>
    </row>
    <row r="260" spans="1:1" x14ac:dyDescent="0.3">
      <c r="A260" t="s">
        <v>1588</v>
      </c>
    </row>
    <row r="261" spans="1:1" x14ac:dyDescent="0.3">
      <c r="A261" t="s">
        <v>1589</v>
      </c>
    </row>
    <row r="262" spans="1:1" x14ac:dyDescent="0.3">
      <c r="A262" t="s">
        <v>1590</v>
      </c>
    </row>
    <row r="263" spans="1:1" x14ac:dyDescent="0.3">
      <c r="A263" t="s">
        <v>1591</v>
      </c>
    </row>
    <row r="264" spans="1:1" x14ac:dyDescent="0.3">
      <c r="A264" t="s">
        <v>1592</v>
      </c>
    </row>
  </sheetData>
  <scenarios current="0" sqref="B20 B21">
    <scenario name="Best Case" locked="1" count="4" user="Fakhrul Syahmi">
      <inputCells r="B11" val="1500" numFmtId="3"/>
      <inputCells r="B12" val="55" numFmtId="168"/>
      <inputCells r="B13" val="28" numFmtId="168"/>
      <inputCells r="B14" val="5000" numFmtId="168"/>
    </scenario>
    <scenario name="Worst Case" locked="1" count="4" user="Fakhrul Syahmi" comment="Created by Fakhrul Syahmi on 28/04/2026">
      <inputCells r="B11" val="600" numFmtId="3"/>
      <inputCells r="B12" val="45" numFmtId="168"/>
      <inputCells r="B13" val="35" numFmtId="168"/>
      <inputCells r="B14" val="6000" numFmtId="168"/>
    </scenario>
    <scenario name="Most Likely" locked="1" count="4" user="Fakhrul Syahmi" comment="Created by Fakhrul Syahmi on 28/04/2026">
      <inputCells r="B11" val="1000" numFmtId="3"/>
      <inputCells r="B12" val="50" numFmtId="168"/>
      <inputCells r="B13" val="30" numFmtId="168"/>
      <inputCells r="B14" val="5000" numFmtId="168"/>
    </scenario>
  </scenarios>
  <mergeCells count="22">
    <mergeCell ref="A250:I250"/>
    <mergeCell ref="A193:I193"/>
    <mergeCell ref="A195:I195"/>
    <mergeCell ref="A213:I213"/>
    <mergeCell ref="A223:I223"/>
    <mergeCell ref="A238:I238"/>
    <mergeCell ref="A84:I84"/>
    <mergeCell ref="A93:I93"/>
    <mergeCell ref="A105:I105"/>
    <mergeCell ref="A113:I113"/>
    <mergeCell ref="A43:I43"/>
    <mergeCell ref="A46:I46"/>
    <mergeCell ref="A60:I60"/>
    <mergeCell ref="A63:I63"/>
    <mergeCell ref="E65:I65"/>
    <mergeCell ref="A81:I81"/>
    <mergeCell ref="A27:I27"/>
    <mergeCell ref="A1:I1"/>
    <mergeCell ref="A2:I2"/>
    <mergeCell ref="A4:I4"/>
    <mergeCell ref="A7:I7"/>
    <mergeCell ref="A24:I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1371-332F-45EE-825E-D2035EF79FBF}">
  <sheetPr codeName="Sheet12"/>
  <dimension ref="A1:H71"/>
  <sheetViews>
    <sheetView topLeftCell="A35" zoomScale="81" workbookViewId="0">
      <selection activeCell="C48" sqref="C48"/>
    </sheetView>
  </sheetViews>
  <sheetFormatPr defaultRowHeight="14.4" x14ac:dyDescent="0.3"/>
  <cols>
    <col min="1" max="1" width="64.77734375" customWidth="1"/>
    <col min="2" max="2" width="55.5546875" customWidth="1"/>
    <col min="3" max="3" width="27.77734375" customWidth="1"/>
    <col min="6" max="6" width="46.33203125" customWidth="1"/>
    <col min="7" max="8" width="22.21875" customWidth="1"/>
  </cols>
  <sheetData>
    <row r="1" spans="1:8" ht="34.950000000000003" customHeight="1" x14ac:dyDescent="0.4">
      <c r="A1" s="142" t="s">
        <v>437</v>
      </c>
      <c r="B1" s="128"/>
      <c r="C1" s="128"/>
      <c r="D1" s="128"/>
      <c r="E1" s="128"/>
      <c r="F1" s="128"/>
      <c r="G1" s="128"/>
      <c r="H1" s="128"/>
    </row>
    <row r="2" spans="1:8" x14ac:dyDescent="0.3">
      <c r="A2" s="128" t="s">
        <v>438</v>
      </c>
      <c r="B2" s="128"/>
      <c r="C2" s="128"/>
      <c r="D2" s="128"/>
      <c r="E2" s="128"/>
      <c r="F2" s="128"/>
      <c r="G2" s="128"/>
      <c r="H2" s="128"/>
    </row>
    <row r="4" spans="1:8" x14ac:dyDescent="0.3">
      <c r="A4" s="169" t="s">
        <v>439</v>
      </c>
      <c r="B4" s="128"/>
      <c r="C4" s="128"/>
      <c r="D4" s="128"/>
      <c r="E4" s="128"/>
      <c r="F4" s="128"/>
      <c r="G4" s="128"/>
      <c r="H4" s="128"/>
    </row>
    <row r="6" spans="1:8" x14ac:dyDescent="0.3">
      <c r="A6" s="5" t="s">
        <v>440</v>
      </c>
      <c r="B6" s="5" t="s">
        <v>84</v>
      </c>
      <c r="C6" s="5" t="s">
        <v>85</v>
      </c>
      <c r="D6" s="5" t="s">
        <v>190</v>
      </c>
      <c r="F6" s="3" t="s">
        <v>445</v>
      </c>
      <c r="G6" s="3" t="s">
        <v>446</v>
      </c>
      <c r="H6" s="12" t="s">
        <v>455</v>
      </c>
    </row>
    <row r="7" spans="1:8" x14ac:dyDescent="0.3">
      <c r="A7" t="s">
        <v>441</v>
      </c>
      <c r="B7" t="s">
        <v>59</v>
      </c>
      <c r="C7">
        <v>52000</v>
      </c>
      <c r="D7">
        <v>3</v>
      </c>
      <c r="F7" t="s">
        <v>447</v>
      </c>
      <c r="G7" s="11"/>
    </row>
    <row r="8" spans="1:8" x14ac:dyDescent="0.3">
      <c r="A8" t="s">
        <v>442</v>
      </c>
      <c r="B8" t="s">
        <v>93</v>
      </c>
      <c r="C8">
        <v>68000</v>
      </c>
      <c r="D8">
        <v>5</v>
      </c>
      <c r="F8" t="s">
        <v>448</v>
      </c>
      <c r="G8" s="11"/>
    </row>
    <row r="9" spans="1:8" x14ac:dyDescent="0.3">
      <c r="A9" t="s">
        <v>193</v>
      </c>
      <c r="B9" t="s">
        <v>59</v>
      </c>
      <c r="C9">
        <v>55000</v>
      </c>
      <c r="D9">
        <v>4</v>
      </c>
      <c r="F9" t="s">
        <v>449</v>
      </c>
      <c r="G9" s="11"/>
    </row>
    <row r="10" spans="1:8" x14ac:dyDescent="0.3">
      <c r="A10" t="s">
        <v>194</v>
      </c>
      <c r="B10" t="s">
        <v>96</v>
      </c>
      <c r="C10">
        <v>48000</v>
      </c>
      <c r="D10">
        <v>2</v>
      </c>
      <c r="F10" t="s">
        <v>450</v>
      </c>
      <c r="G10" s="11"/>
    </row>
    <row r="11" spans="1:8" x14ac:dyDescent="0.3">
      <c r="A11" t="s">
        <v>195</v>
      </c>
      <c r="B11" t="s">
        <v>93</v>
      </c>
      <c r="C11">
        <v>72000</v>
      </c>
      <c r="D11">
        <v>6</v>
      </c>
      <c r="F11" t="s">
        <v>451</v>
      </c>
      <c r="G11" s="11"/>
    </row>
    <row r="12" spans="1:8" x14ac:dyDescent="0.3">
      <c r="A12" t="s">
        <v>196</v>
      </c>
      <c r="B12" t="s">
        <v>59</v>
      </c>
      <c r="C12">
        <v>58000</v>
      </c>
      <c r="D12">
        <v>5</v>
      </c>
      <c r="F12" t="s">
        <v>452</v>
      </c>
      <c r="G12" s="11"/>
    </row>
    <row r="13" spans="1:8" x14ac:dyDescent="0.3">
      <c r="A13" t="s">
        <v>443</v>
      </c>
      <c r="B13" t="s">
        <v>96</v>
      </c>
      <c r="C13">
        <v>51000</v>
      </c>
      <c r="D13">
        <v>3</v>
      </c>
      <c r="F13" t="s">
        <v>453</v>
      </c>
      <c r="G13" s="11"/>
    </row>
    <row r="14" spans="1:8" x14ac:dyDescent="0.3">
      <c r="A14" t="s">
        <v>444</v>
      </c>
      <c r="B14" t="s">
        <v>93</v>
      </c>
      <c r="C14">
        <v>65000</v>
      </c>
      <c r="D14">
        <v>4</v>
      </c>
      <c r="F14" t="s">
        <v>454</v>
      </c>
      <c r="G14" s="11"/>
    </row>
    <row r="16" spans="1:8" x14ac:dyDescent="0.3">
      <c r="A16" s="170" t="s">
        <v>456</v>
      </c>
      <c r="B16" s="128"/>
      <c r="C16" s="128"/>
      <c r="D16" s="128"/>
      <c r="E16" s="128"/>
      <c r="F16" s="128"/>
      <c r="G16" s="128"/>
      <c r="H16" s="128"/>
    </row>
    <row r="18" spans="1:8" x14ac:dyDescent="0.3">
      <c r="A18" s="5" t="s">
        <v>457</v>
      </c>
      <c r="B18" s="5" t="s">
        <v>57</v>
      </c>
      <c r="C18" s="5" t="s">
        <v>149</v>
      </c>
      <c r="D18" s="5" t="s">
        <v>148</v>
      </c>
      <c r="F18" s="3" t="s">
        <v>445</v>
      </c>
      <c r="G18" s="3" t="s">
        <v>446</v>
      </c>
      <c r="H18" s="12" t="s">
        <v>455</v>
      </c>
    </row>
    <row r="19" spans="1:8" x14ac:dyDescent="0.3">
      <c r="A19" t="s">
        <v>458</v>
      </c>
      <c r="B19" t="s">
        <v>459</v>
      </c>
      <c r="C19">
        <v>25.99</v>
      </c>
      <c r="D19" t="s">
        <v>460</v>
      </c>
      <c r="F19" t="s">
        <v>469</v>
      </c>
      <c r="G19" s="11"/>
    </row>
    <row r="20" spans="1:8" x14ac:dyDescent="0.3">
      <c r="A20" t="s">
        <v>461</v>
      </c>
      <c r="B20" t="s">
        <v>462</v>
      </c>
      <c r="C20">
        <v>34.5</v>
      </c>
      <c r="D20" t="s">
        <v>460</v>
      </c>
      <c r="F20" t="s">
        <v>470</v>
      </c>
      <c r="G20" s="11"/>
    </row>
    <row r="21" spans="1:8" x14ac:dyDescent="0.3">
      <c r="A21" t="s">
        <v>463</v>
      </c>
      <c r="B21" t="s">
        <v>464</v>
      </c>
      <c r="C21">
        <v>99.99</v>
      </c>
      <c r="D21" t="s">
        <v>153</v>
      </c>
      <c r="F21" t="s">
        <v>471</v>
      </c>
      <c r="G21" s="11"/>
    </row>
    <row r="22" spans="1:8" x14ac:dyDescent="0.3">
      <c r="A22" t="s">
        <v>465</v>
      </c>
      <c r="B22" t="s">
        <v>466</v>
      </c>
      <c r="C22">
        <v>149.99</v>
      </c>
      <c r="D22" t="s">
        <v>153</v>
      </c>
      <c r="F22" t="s">
        <v>472</v>
      </c>
      <c r="G22" s="11"/>
    </row>
    <row r="23" spans="1:8" x14ac:dyDescent="0.3">
      <c r="A23" t="s">
        <v>467</v>
      </c>
      <c r="B23" t="s">
        <v>468</v>
      </c>
      <c r="C23">
        <v>12.5</v>
      </c>
      <c r="D23" t="s">
        <v>349</v>
      </c>
      <c r="F23" t="s">
        <v>473</v>
      </c>
      <c r="G23" s="11"/>
    </row>
    <row r="24" spans="1:8" x14ac:dyDescent="0.3">
      <c r="F24" t="s">
        <v>474</v>
      </c>
      <c r="G24" s="11"/>
    </row>
    <row r="25" spans="1:8" x14ac:dyDescent="0.3">
      <c r="F25" t="s">
        <v>475</v>
      </c>
      <c r="G25" s="11"/>
    </row>
    <row r="35" spans="1:8" x14ac:dyDescent="0.3">
      <c r="A35" s="183" t="s">
        <v>476</v>
      </c>
      <c r="B35" s="128"/>
      <c r="C35" s="128"/>
      <c r="D35" s="128"/>
      <c r="E35" s="128"/>
      <c r="F35" s="128"/>
      <c r="G35" s="128"/>
      <c r="H35" s="128"/>
    </row>
    <row r="36" spans="1:8" x14ac:dyDescent="0.3">
      <c r="A36" s="128" t="s">
        <v>477</v>
      </c>
      <c r="B36" s="128"/>
      <c r="C36" s="128"/>
      <c r="D36" s="128"/>
      <c r="E36" s="128"/>
      <c r="F36" s="128"/>
      <c r="G36" s="128"/>
      <c r="H36" s="128"/>
    </row>
    <row r="38" spans="1:8" x14ac:dyDescent="0.3">
      <c r="A38" s="3" t="s">
        <v>478</v>
      </c>
      <c r="B38" s="3" t="s">
        <v>479</v>
      </c>
    </row>
    <row r="39" spans="1:8" x14ac:dyDescent="0.3">
      <c r="A39" t="s">
        <v>480</v>
      </c>
      <c r="B39" s="11"/>
    </row>
    <row r="40" spans="1:8" x14ac:dyDescent="0.3">
      <c r="A40" t="s">
        <v>481</v>
      </c>
      <c r="B40" s="11"/>
    </row>
    <row r="41" spans="1:8" x14ac:dyDescent="0.3">
      <c r="A41" t="s">
        <v>482</v>
      </c>
      <c r="B41" s="11"/>
    </row>
    <row r="42" spans="1:8" x14ac:dyDescent="0.3">
      <c r="A42" t="s">
        <v>483</v>
      </c>
      <c r="B42" s="11"/>
    </row>
    <row r="43" spans="1:8" x14ac:dyDescent="0.3">
      <c r="A43" t="s">
        <v>484</v>
      </c>
      <c r="B43" s="11"/>
    </row>
    <row r="44" spans="1:8" x14ac:dyDescent="0.3">
      <c r="A44" t="s">
        <v>485</v>
      </c>
      <c r="B44" s="11"/>
    </row>
    <row r="45" spans="1:8" x14ac:dyDescent="0.3">
      <c r="A45" t="s">
        <v>486</v>
      </c>
      <c r="B45" s="11"/>
    </row>
    <row r="46" spans="1:8" x14ac:dyDescent="0.3">
      <c r="A46" t="s">
        <v>487</v>
      </c>
      <c r="B46" s="11"/>
    </row>
    <row r="47" spans="1:8" x14ac:dyDescent="0.3">
      <c r="A47" t="s">
        <v>488</v>
      </c>
      <c r="B47" s="11"/>
    </row>
    <row r="48" spans="1:8" x14ac:dyDescent="0.3">
      <c r="A48" t="s">
        <v>489</v>
      </c>
      <c r="B48" s="11"/>
      <c r="C48" s="13" t="s">
        <v>152</v>
      </c>
    </row>
    <row r="49" spans="1:8" x14ac:dyDescent="0.3">
      <c r="C49" s="14" t="s">
        <v>490</v>
      </c>
    </row>
    <row r="51" spans="1:8" x14ac:dyDescent="0.3">
      <c r="A51" s="171" t="s">
        <v>491</v>
      </c>
      <c r="B51" s="128"/>
      <c r="C51" s="128"/>
      <c r="D51" s="128"/>
      <c r="E51" s="128"/>
      <c r="F51" s="128"/>
      <c r="G51" s="128"/>
      <c r="H51" s="128"/>
    </row>
    <row r="52" spans="1:8" x14ac:dyDescent="0.3">
      <c r="A52" t="s">
        <v>492</v>
      </c>
    </row>
    <row r="53" spans="1:8" x14ac:dyDescent="0.3">
      <c r="A53" t="s">
        <v>493</v>
      </c>
    </row>
    <row r="54" spans="1:8" x14ac:dyDescent="0.3">
      <c r="A54" t="s">
        <v>494</v>
      </c>
    </row>
    <row r="55" spans="1:8" x14ac:dyDescent="0.3">
      <c r="A55" t="s">
        <v>495</v>
      </c>
    </row>
    <row r="56" spans="1:8" x14ac:dyDescent="0.3">
      <c r="A56" t="s">
        <v>496</v>
      </c>
    </row>
    <row r="57" spans="1:8" x14ac:dyDescent="0.3">
      <c r="A57" t="s">
        <v>497</v>
      </c>
    </row>
    <row r="58" spans="1:8" x14ac:dyDescent="0.3">
      <c r="A58" t="s">
        <v>498</v>
      </c>
    </row>
    <row r="60" spans="1:8" x14ac:dyDescent="0.3">
      <c r="A60" s="182" t="s">
        <v>499</v>
      </c>
      <c r="B60" s="182"/>
      <c r="C60" s="182"/>
      <c r="D60" s="182"/>
      <c r="E60" s="182"/>
      <c r="F60" s="182"/>
      <c r="G60" s="182"/>
      <c r="H60" s="182"/>
    </row>
    <row r="61" spans="1:8" x14ac:dyDescent="0.3">
      <c r="A61" s="1" t="s">
        <v>445</v>
      </c>
      <c r="B61" s="1" t="s">
        <v>505</v>
      </c>
    </row>
    <row r="62" spans="1:8" x14ac:dyDescent="0.3">
      <c r="A62" s="15" t="s">
        <v>500</v>
      </c>
      <c r="B62" s="15" t="s">
        <v>506</v>
      </c>
    </row>
    <row r="63" spans="1:8" x14ac:dyDescent="0.3">
      <c r="A63" s="15" t="s">
        <v>501</v>
      </c>
      <c r="B63" s="15" t="s">
        <v>507</v>
      </c>
    </row>
    <row r="64" spans="1:8" x14ac:dyDescent="0.3">
      <c r="A64" s="15" t="s">
        <v>502</v>
      </c>
      <c r="B64" s="15" t="s">
        <v>508</v>
      </c>
    </row>
    <row r="65" spans="1:2" x14ac:dyDescent="0.3">
      <c r="A65" s="15" t="s">
        <v>503</v>
      </c>
      <c r="B65" s="15" t="s">
        <v>509</v>
      </c>
    </row>
    <row r="66" spans="1:2" x14ac:dyDescent="0.3">
      <c r="A66" s="15" t="s">
        <v>504</v>
      </c>
      <c r="B66" s="15" t="s">
        <v>510</v>
      </c>
    </row>
    <row r="67" spans="1:2" x14ac:dyDescent="0.3">
      <c r="A67" s="15" t="s">
        <v>511</v>
      </c>
      <c r="B67" s="15" t="s">
        <v>512</v>
      </c>
    </row>
    <row r="68" spans="1:2" x14ac:dyDescent="0.3">
      <c r="A68" s="15" t="s">
        <v>513</v>
      </c>
      <c r="B68" s="15" t="s">
        <v>514</v>
      </c>
    </row>
    <row r="69" spans="1:2" x14ac:dyDescent="0.3">
      <c r="A69" s="15" t="s">
        <v>515</v>
      </c>
      <c r="B69" s="15" t="s">
        <v>516</v>
      </c>
    </row>
    <row r="70" spans="1:2" x14ac:dyDescent="0.3">
      <c r="A70" s="15" t="s">
        <v>517</v>
      </c>
      <c r="B70" s="15" t="s">
        <v>518</v>
      </c>
    </row>
    <row r="71" spans="1:2" x14ac:dyDescent="0.3">
      <c r="A71" s="15" t="s">
        <v>519</v>
      </c>
      <c r="B71" s="15" t="s">
        <v>520</v>
      </c>
    </row>
  </sheetData>
  <mergeCells count="8">
    <mergeCell ref="A51:H51"/>
    <mergeCell ref="A60:H60"/>
    <mergeCell ref="A1:H1"/>
    <mergeCell ref="A2:H2"/>
    <mergeCell ref="A4:H4"/>
    <mergeCell ref="A16:H16"/>
    <mergeCell ref="A35:H35"/>
    <mergeCell ref="A36:H3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F670-D146-4FA8-8BF8-9CBBD939F564}">
  <dimension ref="A1:H260"/>
  <sheetViews>
    <sheetView tabSelected="1" topLeftCell="A63" workbookViewId="0">
      <selection activeCell="C137" sqref="C137"/>
    </sheetView>
  </sheetViews>
  <sheetFormatPr defaultRowHeight="14.4" x14ac:dyDescent="0.3"/>
  <cols>
    <col min="1" max="1" width="33.33203125" customWidth="1"/>
    <col min="2" max="3" width="37" customWidth="1"/>
    <col min="4" max="5" width="22.21875" customWidth="1"/>
    <col min="6" max="6" width="27.77734375" customWidth="1"/>
    <col min="7" max="7" width="33.33203125" customWidth="1"/>
    <col min="8" max="8" width="27.77734375" customWidth="1"/>
  </cols>
  <sheetData>
    <row r="1" spans="1:8" ht="30" customHeight="1" x14ac:dyDescent="0.4">
      <c r="A1" s="129" t="s">
        <v>1229</v>
      </c>
      <c r="B1" s="128"/>
      <c r="C1" s="128"/>
      <c r="D1" s="128"/>
      <c r="E1" s="128"/>
      <c r="F1" s="128"/>
      <c r="G1" s="128"/>
      <c r="H1" s="128"/>
    </row>
    <row r="2" spans="1:8" x14ac:dyDescent="0.3">
      <c r="A2" s="130" t="s">
        <v>1230</v>
      </c>
      <c r="B2" s="128"/>
      <c r="C2" s="128"/>
      <c r="D2" s="128"/>
      <c r="E2" s="128"/>
      <c r="F2" s="128"/>
      <c r="G2" s="128"/>
      <c r="H2" s="128"/>
    </row>
    <row r="4" spans="1:8" ht="15.6" x14ac:dyDescent="0.3">
      <c r="A4" s="131" t="s">
        <v>1231</v>
      </c>
      <c r="B4" s="128"/>
      <c r="C4" s="128"/>
      <c r="D4" s="128"/>
      <c r="E4" s="128"/>
      <c r="F4" s="128"/>
      <c r="G4" s="128"/>
      <c r="H4" s="128"/>
    </row>
    <row r="6" spans="1:8" x14ac:dyDescent="0.3">
      <c r="A6" t="s">
        <v>1232</v>
      </c>
    </row>
    <row r="8" spans="1:8" x14ac:dyDescent="0.3">
      <c r="A8" s="1" t="s">
        <v>1233</v>
      </c>
    </row>
    <row r="9" spans="1:8" x14ac:dyDescent="0.3">
      <c r="A9" t="s">
        <v>1234</v>
      </c>
    </row>
    <row r="10" spans="1:8" x14ac:dyDescent="0.3">
      <c r="A10" t="s">
        <v>1235</v>
      </c>
    </row>
    <row r="11" spans="1:8" x14ac:dyDescent="0.3">
      <c r="A11" t="s">
        <v>1236</v>
      </c>
    </row>
    <row r="12" spans="1:8" x14ac:dyDescent="0.3">
      <c r="A12" t="s">
        <v>1237</v>
      </c>
    </row>
    <row r="13" spans="1:8" x14ac:dyDescent="0.3">
      <c r="A13" t="s">
        <v>1238</v>
      </c>
    </row>
    <row r="15" spans="1:8" x14ac:dyDescent="0.3">
      <c r="A15" s="1" t="s">
        <v>1239</v>
      </c>
    </row>
    <row r="17" spans="1:8" x14ac:dyDescent="0.3">
      <c r="A17" s="35" t="s">
        <v>756</v>
      </c>
      <c r="B17" s="35" t="s">
        <v>1080</v>
      </c>
      <c r="C17" s="35" t="s">
        <v>975</v>
      </c>
    </row>
    <row r="18" spans="1:8" x14ac:dyDescent="0.3">
      <c r="A18" s="17" t="s">
        <v>1240</v>
      </c>
      <c r="B18" s="17" t="s">
        <v>1241</v>
      </c>
      <c r="C18" s="17" t="s">
        <v>1242</v>
      </c>
    </row>
    <row r="19" spans="1:8" x14ac:dyDescent="0.3">
      <c r="A19" s="17" t="s">
        <v>1243</v>
      </c>
      <c r="B19" s="17" t="s">
        <v>1244</v>
      </c>
      <c r="C19" s="17" t="s">
        <v>1245</v>
      </c>
    </row>
    <row r="20" spans="1:8" x14ac:dyDescent="0.3">
      <c r="A20" s="17" t="s">
        <v>1246</v>
      </c>
      <c r="B20" s="17" t="s">
        <v>1247</v>
      </c>
      <c r="C20" s="17" t="s">
        <v>1248</v>
      </c>
    </row>
    <row r="21" spans="1:8" x14ac:dyDescent="0.3">
      <c r="A21" s="17" t="s">
        <v>1249</v>
      </c>
      <c r="B21" s="17" t="s">
        <v>1250</v>
      </c>
      <c r="C21" s="17" t="s">
        <v>1251</v>
      </c>
    </row>
    <row r="22" spans="1:8" x14ac:dyDescent="0.3">
      <c r="A22" s="17" t="s">
        <v>1252</v>
      </c>
      <c r="B22" s="17" t="s">
        <v>1253</v>
      </c>
      <c r="C22" s="17" t="s">
        <v>1254</v>
      </c>
    </row>
    <row r="23" spans="1:8" x14ac:dyDescent="0.3">
      <c r="A23" s="17" t="s">
        <v>1255</v>
      </c>
      <c r="B23" s="17" t="s">
        <v>1256</v>
      </c>
      <c r="C23" s="17" t="s">
        <v>1257</v>
      </c>
    </row>
    <row r="24" spans="1:8" x14ac:dyDescent="0.3">
      <c r="A24" s="17" t="s">
        <v>1258</v>
      </c>
      <c r="B24" s="17" t="s">
        <v>1259</v>
      </c>
      <c r="C24" s="17" t="s">
        <v>1260</v>
      </c>
    </row>
    <row r="25" spans="1:8" x14ac:dyDescent="0.3">
      <c r="A25" s="17" t="s">
        <v>1261</v>
      </c>
      <c r="B25" s="17" t="s">
        <v>1262</v>
      </c>
      <c r="C25" s="17" t="s">
        <v>1263</v>
      </c>
    </row>
    <row r="26" spans="1:8" x14ac:dyDescent="0.3">
      <c r="A26" s="17" t="s">
        <v>1264</v>
      </c>
      <c r="B26" s="17" t="s">
        <v>1265</v>
      </c>
      <c r="C26" s="17" t="s">
        <v>1266</v>
      </c>
    </row>
    <row r="27" spans="1:8" x14ac:dyDescent="0.3">
      <c r="A27" s="17" t="s">
        <v>1267</v>
      </c>
      <c r="B27" s="17" t="s">
        <v>1268</v>
      </c>
      <c r="C27" s="17" t="s">
        <v>1269</v>
      </c>
    </row>
    <row r="30" spans="1:8" ht="15.6" x14ac:dyDescent="0.3">
      <c r="A30" s="131" t="s">
        <v>1270</v>
      </c>
      <c r="B30" s="128"/>
      <c r="C30" s="128"/>
      <c r="D30" s="128"/>
      <c r="E30" s="128"/>
      <c r="F30" s="128"/>
      <c r="G30" s="128"/>
      <c r="H30" s="128"/>
    </row>
    <row r="32" spans="1:8" x14ac:dyDescent="0.3">
      <c r="A32" t="s">
        <v>1271</v>
      </c>
    </row>
    <row r="34" spans="1:7" x14ac:dyDescent="0.3">
      <c r="A34" s="1" t="s">
        <v>1272</v>
      </c>
    </row>
    <row r="35" spans="1:7" x14ac:dyDescent="0.3">
      <c r="A35" t="s">
        <v>1273</v>
      </c>
    </row>
    <row r="36" spans="1:7" x14ac:dyDescent="0.3">
      <c r="A36" t="s">
        <v>1274</v>
      </c>
    </row>
    <row r="37" spans="1:7" x14ac:dyDescent="0.3">
      <c r="A37" t="s">
        <v>1275</v>
      </c>
    </row>
    <row r="38" spans="1:7" x14ac:dyDescent="0.3">
      <c r="A38" t="s">
        <v>1276</v>
      </c>
    </row>
    <row r="41" spans="1:7" x14ac:dyDescent="0.3">
      <c r="A41" s="1" t="s">
        <v>1277</v>
      </c>
      <c r="G41" s="1" t="s">
        <v>1294</v>
      </c>
    </row>
    <row r="42" spans="1:7" x14ac:dyDescent="0.3">
      <c r="G42" t="s">
        <v>1295</v>
      </c>
    </row>
    <row r="43" spans="1:7" x14ac:dyDescent="0.3">
      <c r="A43" s="119" t="s">
        <v>409</v>
      </c>
      <c r="B43" s="119" t="s">
        <v>1278</v>
      </c>
      <c r="C43" s="119" t="s">
        <v>1279</v>
      </c>
      <c r="D43" s="119" t="s">
        <v>1280</v>
      </c>
      <c r="E43" s="119" t="s">
        <v>1281</v>
      </c>
      <c r="G43" s="120" t="s">
        <v>1296</v>
      </c>
    </row>
    <row r="44" spans="1:7" x14ac:dyDescent="0.3">
      <c r="A44" s="17" t="s">
        <v>1282</v>
      </c>
      <c r="B44" s="89">
        <v>1000</v>
      </c>
      <c r="C44" s="89">
        <v>15000</v>
      </c>
      <c r="D44" s="79">
        <v>5</v>
      </c>
      <c r="E44" s="79">
        <v>32</v>
      </c>
      <c r="G44" t="s">
        <v>1297</v>
      </c>
    </row>
    <row r="45" spans="1:7" x14ac:dyDescent="0.3">
      <c r="A45" s="17" t="s">
        <v>1283</v>
      </c>
      <c r="B45" s="89">
        <v>1500</v>
      </c>
      <c r="C45" s="89">
        <v>18000</v>
      </c>
      <c r="D45" s="79">
        <v>5</v>
      </c>
      <c r="E45" s="79">
        <v>35</v>
      </c>
      <c r="G45" t="s">
        <v>1298</v>
      </c>
    </row>
    <row r="46" spans="1:7" x14ac:dyDescent="0.3">
      <c r="A46" s="17" t="s">
        <v>1284</v>
      </c>
      <c r="B46" s="89">
        <v>2000</v>
      </c>
      <c r="C46" s="89">
        <v>22000</v>
      </c>
      <c r="D46" s="79">
        <v>6</v>
      </c>
      <c r="E46" s="79">
        <v>45</v>
      </c>
      <c r="G46" t="s">
        <v>1299</v>
      </c>
    </row>
    <row r="47" spans="1:7" x14ac:dyDescent="0.3">
      <c r="A47" s="17" t="s">
        <v>1285</v>
      </c>
      <c r="B47" s="89">
        <v>2500</v>
      </c>
      <c r="C47" s="89">
        <v>28000</v>
      </c>
      <c r="D47" s="79">
        <v>6</v>
      </c>
      <c r="E47" s="79">
        <v>55</v>
      </c>
      <c r="G47" t="s">
        <v>1300</v>
      </c>
    </row>
    <row r="48" spans="1:7" x14ac:dyDescent="0.3">
      <c r="A48" s="17" t="s">
        <v>1286</v>
      </c>
      <c r="B48" s="89">
        <v>3000</v>
      </c>
      <c r="C48" s="89">
        <v>32000</v>
      </c>
      <c r="D48" s="79">
        <v>7</v>
      </c>
      <c r="E48" s="79">
        <v>65</v>
      </c>
    </row>
    <row r="49" spans="1:8" x14ac:dyDescent="0.3">
      <c r="A49" s="17" t="s">
        <v>1287</v>
      </c>
      <c r="B49" s="89">
        <v>3500</v>
      </c>
      <c r="C49" s="89">
        <v>38000</v>
      </c>
      <c r="D49" s="79">
        <v>7</v>
      </c>
      <c r="E49" s="79">
        <v>75</v>
      </c>
      <c r="G49" s="1" t="s">
        <v>1301</v>
      </c>
    </row>
    <row r="50" spans="1:8" x14ac:dyDescent="0.3">
      <c r="A50" s="17" t="s">
        <v>1288</v>
      </c>
      <c r="B50" s="89">
        <v>4000</v>
      </c>
      <c r="C50" s="89">
        <v>41000</v>
      </c>
      <c r="D50" s="79">
        <v>8</v>
      </c>
      <c r="E50" s="79">
        <v>82</v>
      </c>
    </row>
    <row r="51" spans="1:8" x14ac:dyDescent="0.3">
      <c r="A51" s="17" t="s">
        <v>1289</v>
      </c>
      <c r="B51" s="89">
        <v>4500</v>
      </c>
      <c r="C51" s="89">
        <v>45000</v>
      </c>
      <c r="D51" s="79">
        <v>8</v>
      </c>
      <c r="E51" s="79">
        <v>80</v>
      </c>
      <c r="G51" s="35" t="s">
        <v>386</v>
      </c>
      <c r="H51" s="35" t="s">
        <v>1302</v>
      </c>
    </row>
    <row r="52" spans="1:8" x14ac:dyDescent="0.3">
      <c r="A52" s="17" t="s">
        <v>1290</v>
      </c>
      <c r="B52" s="89">
        <v>3500</v>
      </c>
      <c r="C52" s="89">
        <v>39000</v>
      </c>
      <c r="D52" s="79">
        <v>8</v>
      </c>
      <c r="E52" s="79">
        <v>70</v>
      </c>
      <c r="G52" s="17" t="s">
        <v>1303</v>
      </c>
      <c r="H52" s="17" t="s">
        <v>1304</v>
      </c>
    </row>
    <row r="53" spans="1:8" x14ac:dyDescent="0.3">
      <c r="A53" s="17" t="s">
        <v>1291</v>
      </c>
      <c r="B53" s="89">
        <v>3000</v>
      </c>
      <c r="C53" s="89">
        <v>34000</v>
      </c>
      <c r="D53" s="79">
        <v>7</v>
      </c>
      <c r="E53" s="79">
        <v>58</v>
      </c>
      <c r="G53" s="17" t="s">
        <v>1305</v>
      </c>
      <c r="H53" s="17" t="s">
        <v>1306</v>
      </c>
    </row>
    <row r="54" spans="1:8" x14ac:dyDescent="0.3">
      <c r="A54" s="17" t="s">
        <v>1292</v>
      </c>
      <c r="B54" s="89">
        <v>2500</v>
      </c>
      <c r="C54" s="89">
        <v>29000</v>
      </c>
      <c r="D54" s="79">
        <v>7</v>
      </c>
      <c r="E54" s="79">
        <v>45</v>
      </c>
      <c r="G54" s="17" t="s">
        <v>1307</v>
      </c>
      <c r="H54" s="17" t="s">
        <v>1308</v>
      </c>
    </row>
    <row r="55" spans="1:8" x14ac:dyDescent="0.3">
      <c r="A55" s="17" t="s">
        <v>1293</v>
      </c>
      <c r="B55" s="89">
        <v>2000</v>
      </c>
      <c r="C55" s="89">
        <v>25000</v>
      </c>
      <c r="D55" s="79">
        <v>6</v>
      </c>
      <c r="E55" s="79">
        <v>35</v>
      </c>
      <c r="G55" s="17" t="s">
        <v>665</v>
      </c>
      <c r="H55" s="17" t="s">
        <v>1309</v>
      </c>
    </row>
    <row r="56" spans="1:8" x14ac:dyDescent="0.3">
      <c r="G56" s="17" t="s">
        <v>1310</v>
      </c>
      <c r="H56" s="17" t="s">
        <v>1311</v>
      </c>
    </row>
    <row r="57" spans="1:8" x14ac:dyDescent="0.3">
      <c r="G57" s="17" t="s">
        <v>1312</v>
      </c>
      <c r="H57" s="17" t="s">
        <v>1313</v>
      </c>
    </row>
    <row r="58" spans="1:8" x14ac:dyDescent="0.3">
      <c r="G58" s="17" t="s">
        <v>1314</v>
      </c>
      <c r="H58" s="17" t="s">
        <v>1315</v>
      </c>
    </row>
    <row r="62" spans="1:8" ht="15.6" x14ac:dyDescent="0.3">
      <c r="A62" s="131" t="s">
        <v>1316</v>
      </c>
      <c r="B62" s="128"/>
      <c r="C62" s="128"/>
      <c r="D62" s="128"/>
      <c r="E62" s="128"/>
      <c r="F62" s="128"/>
      <c r="G62" s="128"/>
      <c r="H62" s="128"/>
    </row>
    <row r="64" spans="1:8" x14ac:dyDescent="0.3">
      <c r="A64" t="s">
        <v>1317</v>
      </c>
    </row>
    <row r="66" spans="1:6" x14ac:dyDescent="0.3">
      <c r="A66" s="1" t="s">
        <v>1318</v>
      </c>
      <c r="F66" s="1" t="s">
        <v>1324</v>
      </c>
    </row>
    <row r="67" spans="1:6" x14ac:dyDescent="0.3">
      <c r="F67" t="s">
        <v>1325</v>
      </c>
    </row>
    <row r="68" spans="1:6" x14ac:dyDescent="0.3">
      <c r="A68" s="121" t="s">
        <v>575</v>
      </c>
      <c r="B68" s="121" t="s">
        <v>1319</v>
      </c>
      <c r="C68" s="121" t="s">
        <v>1320</v>
      </c>
      <c r="D68" s="121" t="s">
        <v>1321</v>
      </c>
      <c r="F68" s="122" t="s">
        <v>1326</v>
      </c>
    </row>
    <row r="69" spans="1:6" x14ac:dyDescent="0.3">
      <c r="A69" s="17" t="s">
        <v>441</v>
      </c>
      <c r="B69" s="17">
        <v>85</v>
      </c>
      <c r="C69" s="17">
        <v>88</v>
      </c>
      <c r="D69" s="17">
        <v>82</v>
      </c>
      <c r="F69" t="s">
        <v>1327</v>
      </c>
    </row>
    <row r="70" spans="1:6" x14ac:dyDescent="0.3">
      <c r="A70" s="17" t="s">
        <v>442</v>
      </c>
      <c r="B70" s="17">
        <v>72</v>
      </c>
      <c r="C70" s="17">
        <v>75</v>
      </c>
      <c r="D70" s="17">
        <v>78</v>
      </c>
      <c r="F70" t="s">
        <v>1328</v>
      </c>
    </row>
    <row r="71" spans="1:6" x14ac:dyDescent="0.3">
      <c r="A71" s="17" t="s">
        <v>193</v>
      </c>
      <c r="B71" s="17">
        <v>90</v>
      </c>
      <c r="C71" s="17">
        <v>85</v>
      </c>
      <c r="D71" s="17">
        <v>88</v>
      </c>
      <c r="F71" t="s">
        <v>1329</v>
      </c>
    </row>
    <row r="72" spans="1:6" x14ac:dyDescent="0.3">
      <c r="A72" s="17" t="s">
        <v>194</v>
      </c>
      <c r="B72" s="17">
        <v>68</v>
      </c>
      <c r="C72" s="17">
        <v>70</v>
      </c>
      <c r="D72" s="17">
        <v>72</v>
      </c>
    </row>
    <row r="73" spans="1:6" x14ac:dyDescent="0.3">
      <c r="A73" s="17" t="s">
        <v>195</v>
      </c>
      <c r="B73" s="17">
        <v>95</v>
      </c>
      <c r="C73" s="17">
        <v>92</v>
      </c>
      <c r="D73" s="17">
        <v>90</v>
      </c>
      <c r="F73" s="1" t="s">
        <v>1330</v>
      </c>
    </row>
    <row r="74" spans="1:6" x14ac:dyDescent="0.3">
      <c r="A74" s="17" t="s">
        <v>196</v>
      </c>
      <c r="B74" s="17">
        <v>78</v>
      </c>
      <c r="C74" s="17">
        <v>80</v>
      </c>
      <c r="D74" s="17">
        <v>85</v>
      </c>
      <c r="F74" t="s">
        <v>1331</v>
      </c>
    </row>
    <row r="75" spans="1:6" x14ac:dyDescent="0.3">
      <c r="A75" s="17" t="s">
        <v>443</v>
      </c>
      <c r="B75" s="17">
        <v>82</v>
      </c>
      <c r="C75" s="17">
        <v>78</v>
      </c>
      <c r="D75" s="17">
        <v>80</v>
      </c>
      <c r="F75" t="s">
        <v>1332</v>
      </c>
    </row>
    <row r="76" spans="1:6" x14ac:dyDescent="0.3">
      <c r="A76" s="17" t="s">
        <v>444</v>
      </c>
      <c r="B76" s="17">
        <v>88</v>
      </c>
      <c r="C76" s="17">
        <v>90</v>
      </c>
      <c r="D76" s="17">
        <v>86</v>
      </c>
      <c r="F76" t="s">
        <v>1333</v>
      </c>
    </row>
    <row r="77" spans="1:6" x14ac:dyDescent="0.3">
      <c r="A77" s="17" t="s">
        <v>1322</v>
      </c>
      <c r="B77" s="17">
        <v>76</v>
      </c>
      <c r="C77" s="17">
        <v>82</v>
      </c>
      <c r="D77" s="17">
        <v>79</v>
      </c>
      <c r="F77" t="s">
        <v>1334</v>
      </c>
    </row>
    <row r="78" spans="1:6" x14ac:dyDescent="0.3">
      <c r="A78" s="17" t="s">
        <v>1323</v>
      </c>
      <c r="B78" s="17">
        <v>91</v>
      </c>
      <c r="C78" s="17">
        <v>87</v>
      </c>
      <c r="D78" s="17">
        <v>84</v>
      </c>
      <c r="F78" t="s">
        <v>1335</v>
      </c>
    </row>
    <row r="82" spans="1:8" ht="15.6" x14ac:dyDescent="0.3">
      <c r="A82" s="131" t="s">
        <v>1336</v>
      </c>
      <c r="B82" s="128"/>
      <c r="C82" s="128"/>
      <c r="D82" s="128"/>
      <c r="E82" s="128"/>
      <c r="F82" s="128"/>
      <c r="G82" s="128"/>
      <c r="H82" s="128"/>
    </row>
    <row r="84" spans="1:8" x14ac:dyDescent="0.3">
      <c r="A84" t="s">
        <v>1337</v>
      </c>
    </row>
    <row r="86" spans="1:8" x14ac:dyDescent="0.3">
      <c r="A86" s="1" t="s">
        <v>1338</v>
      </c>
      <c r="E86" s="1" t="s">
        <v>1361</v>
      </c>
    </row>
    <row r="87" spans="1:8" x14ac:dyDescent="0.3">
      <c r="E87" t="s">
        <v>1362</v>
      </c>
    </row>
    <row r="88" spans="1:8" x14ac:dyDescent="0.3">
      <c r="A88" s="35" t="s">
        <v>1339</v>
      </c>
      <c r="B88" s="35" t="s">
        <v>1340</v>
      </c>
      <c r="C88" s="35" t="s">
        <v>171</v>
      </c>
      <c r="E88" s="41" t="s">
        <v>1363</v>
      </c>
    </row>
    <row r="89" spans="1:8" x14ac:dyDescent="0.3">
      <c r="A89" s="17" t="s">
        <v>1341</v>
      </c>
      <c r="B89" s="17" t="s">
        <v>1342</v>
      </c>
      <c r="C89" s="17" t="s">
        <v>1343</v>
      </c>
      <c r="E89" t="s">
        <v>1327</v>
      </c>
    </row>
    <row r="90" spans="1:8" x14ac:dyDescent="0.3">
      <c r="A90" s="17" t="s">
        <v>1344</v>
      </c>
      <c r="B90" s="17" t="s">
        <v>1345</v>
      </c>
      <c r="C90" s="17" t="s">
        <v>1346</v>
      </c>
      <c r="E90" t="s">
        <v>1364</v>
      </c>
    </row>
    <row r="91" spans="1:8" x14ac:dyDescent="0.3">
      <c r="A91" s="17" t="s">
        <v>1347</v>
      </c>
      <c r="B91" s="17" t="s">
        <v>1348</v>
      </c>
      <c r="C91" s="17" t="s">
        <v>1349</v>
      </c>
    </row>
    <row r="92" spans="1:8" x14ac:dyDescent="0.3">
      <c r="A92" s="17">
        <v>0</v>
      </c>
      <c r="B92" s="17" t="s">
        <v>1350</v>
      </c>
      <c r="C92" s="17" t="s">
        <v>1351</v>
      </c>
      <c r="E92" t="s">
        <v>1365</v>
      </c>
    </row>
    <row r="93" spans="1:8" x14ac:dyDescent="0.3">
      <c r="A93" s="17" t="s">
        <v>1352</v>
      </c>
      <c r="B93" s="17" t="s">
        <v>1353</v>
      </c>
      <c r="C93" s="17" t="s">
        <v>1354</v>
      </c>
      <c r="E93" t="s">
        <v>1366</v>
      </c>
    </row>
    <row r="94" spans="1:8" x14ac:dyDescent="0.3">
      <c r="A94" s="17" t="s">
        <v>1355</v>
      </c>
      <c r="B94" s="17" t="s">
        <v>1356</v>
      </c>
      <c r="C94" s="17" t="s">
        <v>1357</v>
      </c>
      <c r="E94" t="s">
        <v>1367</v>
      </c>
    </row>
    <row r="95" spans="1:8" x14ac:dyDescent="0.3">
      <c r="A95" s="17" t="s">
        <v>1358</v>
      </c>
      <c r="B95" s="17" t="s">
        <v>1359</v>
      </c>
      <c r="C95" s="17" t="s">
        <v>1360</v>
      </c>
    </row>
    <row r="99" spans="1:8" ht="15.6" x14ac:dyDescent="0.3">
      <c r="A99" s="131" t="s">
        <v>1368</v>
      </c>
      <c r="B99" s="128"/>
      <c r="C99" s="128"/>
      <c r="D99" s="128"/>
      <c r="E99" s="128"/>
      <c r="F99" s="128"/>
      <c r="G99" s="128"/>
      <c r="H99" s="128"/>
    </row>
    <row r="101" spans="1:8" x14ac:dyDescent="0.3">
      <c r="A101" t="s">
        <v>1369</v>
      </c>
    </row>
    <row r="103" spans="1:8" x14ac:dyDescent="0.3">
      <c r="A103" s="1" t="s">
        <v>1370</v>
      </c>
    </row>
    <row r="105" spans="1:8" x14ac:dyDescent="0.3">
      <c r="A105" s="35" t="s">
        <v>1371</v>
      </c>
      <c r="B105" s="35" t="s">
        <v>891</v>
      </c>
      <c r="C105" s="35" t="s">
        <v>171</v>
      </c>
    </row>
    <row r="106" spans="1:8" x14ac:dyDescent="0.3">
      <c r="A106" s="17" t="s">
        <v>1372</v>
      </c>
      <c r="B106" s="17" t="s">
        <v>1373</v>
      </c>
      <c r="C106" s="17" t="s">
        <v>1374</v>
      </c>
    </row>
    <row r="107" spans="1:8" x14ac:dyDescent="0.3">
      <c r="A107" s="17" t="s">
        <v>1375</v>
      </c>
      <c r="B107" s="17" t="s">
        <v>1376</v>
      </c>
      <c r="C107" s="17" t="s">
        <v>1377</v>
      </c>
    </row>
    <row r="108" spans="1:8" x14ac:dyDescent="0.3">
      <c r="A108" s="17" t="s">
        <v>1378</v>
      </c>
      <c r="B108" s="17" t="s">
        <v>1379</v>
      </c>
      <c r="C108" s="17" t="s">
        <v>1380</v>
      </c>
    </row>
    <row r="111" spans="1:8" x14ac:dyDescent="0.3">
      <c r="A111" s="1" t="s">
        <v>1381</v>
      </c>
      <c r="D111" s="1" t="s">
        <v>1384</v>
      </c>
    </row>
    <row r="112" spans="1:8" x14ac:dyDescent="0.3">
      <c r="D112" t="s">
        <v>1385</v>
      </c>
    </row>
    <row r="113" spans="1:8" x14ac:dyDescent="0.3">
      <c r="A113" s="123" t="s">
        <v>1382</v>
      </c>
      <c r="B113" s="123" t="s">
        <v>1383</v>
      </c>
      <c r="D113" t="s">
        <v>1386</v>
      </c>
    </row>
    <row r="114" spans="1:8" x14ac:dyDescent="0.3">
      <c r="A114" s="17">
        <v>45</v>
      </c>
      <c r="B114" s="17">
        <v>58</v>
      </c>
      <c r="D114" t="s">
        <v>1387</v>
      </c>
    </row>
    <row r="115" spans="1:8" x14ac:dyDescent="0.3">
      <c r="A115" s="17">
        <v>52</v>
      </c>
      <c r="B115" s="17">
        <v>62</v>
      </c>
      <c r="D115" t="s">
        <v>1388</v>
      </c>
    </row>
    <row r="116" spans="1:8" x14ac:dyDescent="0.3">
      <c r="A116" s="17">
        <v>48</v>
      </c>
      <c r="B116" s="17">
        <v>55</v>
      </c>
      <c r="D116" t="s">
        <v>1389</v>
      </c>
    </row>
    <row r="117" spans="1:8" x14ac:dyDescent="0.3">
      <c r="A117" s="17">
        <v>55</v>
      </c>
      <c r="B117" s="17">
        <v>61</v>
      </c>
      <c r="D117" t="s">
        <v>1390</v>
      </c>
    </row>
    <row r="118" spans="1:8" x14ac:dyDescent="0.3">
      <c r="A118" s="17">
        <v>47</v>
      </c>
      <c r="B118" s="17">
        <v>57</v>
      </c>
    </row>
    <row r="119" spans="1:8" x14ac:dyDescent="0.3">
      <c r="A119" s="17">
        <v>51</v>
      </c>
      <c r="B119" s="17">
        <v>63</v>
      </c>
      <c r="D119" s="1" t="s">
        <v>1391</v>
      </c>
    </row>
    <row r="120" spans="1:8" x14ac:dyDescent="0.3">
      <c r="A120" s="17">
        <v>49</v>
      </c>
      <c r="B120" s="17">
        <v>59</v>
      </c>
      <c r="D120" t="s">
        <v>1392</v>
      </c>
    </row>
    <row r="121" spans="1:8" x14ac:dyDescent="0.3">
      <c r="A121" s="17">
        <v>53</v>
      </c>
      <c r="B121" s="17">
        <v>65</v>
      </c>
      <c r="D121" t="s">
        <v>1393</v>
      </c>
    </row>
    <row r="122" spans="1:8" x14ac:dyDescent="0.3">
      <c r="A122" s="17">
        <v>46</v>
      </c>
      <c r="B122" s="17">
        <v>56</v>
      </c>
      <c r="D122" t="s">
        <v>1394</v>
      </c>
    </row>
    <row r="123" spans="1:8" x14ac:dyDescent="0.3">
      <c r="A123" s="17">
        <v>50</v>
      </c>
      <c r="B123" s="17">
        <v>60</v>
      </c>
    </row>
    <row r="127" spans="1:8" ht="15.6" x14ac:dyDescent="0.3">
      <c r="A127" s="131" t="s">
        <v>1395</v>
      </c>
      <c r="B127" s="128"/>
      <c r="C127" s="128"/>
      <c r="D127" s="128"/>
      <c r="E127" s="128"/>
      <c r="F127" s="128"/>
      <c r="G127" s="128"/>
      <c r="H127" s="128"/>
    </row>
    <row r="129" spans="1:6" x14ac:dyDescent="0.3">
      <c r="A129" t="s">
        <v>1396</v>
      </c>
    </row>
    <row r="131" spans="1:6" x14ac:dyDescent="0.3">
      <c r="A131" s="1" t="s">
        <v>1397</v>
      </c>
      <c r="F131" s="1" t="s">
        <v>1398</v>
      </c>
    </row>
    <row r="132" spans="1:6" x14ac:dyDescent="0.3">
      <c r="F132" t="s">
        <v>1399</v>
      </c>
    </row>
    <row r="133" spans="1:6" x14ac:dyDescent="0.3">
      <c r="A133" s="124" t="s">
        <v>62</v>
      </c>
      <c r="B133" s="124" t="s">
        <v>64</v>
      </c>
      <c r="C133" s="124" t="s">
        <v>351</v>
      </c>
      <c r="D133" s="124" t="s">
        <v>353</v>
      </c>
      <c r="F133" s="125" t="s">
        <v>1400</v>
      </c>
    </row>
    <row r="134" spans="1:6" x14ac:dyDescent="0.3">
      <c r="A134" s="89">
        <v>85000</v>
      </c>
      <c r="B134" s="89">
        <v>72000</v>
      </c>
      <c r="C134" s="89">
        <v>88000</v>
      </c>
      <c r="D134" s="89">
        <v>78000</v>
      </c>
      <c r="F134" t="s">
        <v>1401</v>
      </c>
    </row>
    <row r="135" spans="1:6" x14ac:dyDescent="0.3">
      <c r="A135" s="89">
        <v>92000</v>
      </c>
      <c r="B135" s="89">
        <v>68000</v>
      </c>
      <c r="C135" s="89">
        <v>95000</v>
      </c>
      <c r="D135" s="89">
        <v>82000</v>
      </c>
      <c r="F135" t="s">
        <v>1402</v>
      </c>
    </row>
    <row r="136" spans="1:6" x14ac:dyDescent="0.3">
      <c r="A136" s="89">
        <v>78000</v>
      </c>
      <c r="B136" s="89">
        <v>75000</v>
      </c>
      <c r="C136" s="89">
        <v>91000</v>
      </c>
      <c r="D136" s="89">
        <v>75000</v>
      </c>
      <c r="F136" t="s">
        <v>1403</v>
      </c>
    </row>
    <row r="137" spans="1:6" x14ac:dyDescent="0.3">
      <c r="A137" s="89">
        <v>88000</v>
      </c>
      <c r="B137" s="89">
        <v>70000</v>
      </c>
      <c r="C137" s="89">
        <v>87000</v>
      </c>
      <c r="D137" s="89">
        <v>80000</v>
      </c>
      <c r="F137" t="s">
        <v>1390</v>
      </c>
    </row>
    <row r="138" spans="1:6" x14ac:dyDescent="0.3">
      <c r="A138" s="89">
        <v>95000</v>
      </c>
      <c r="B138" s="89">
        <v>73000</v>
      </c>
      <c r="C138" s="89">
        <v>93000</v>
      </c>
      <c r="D138" s="89">
        <v>77000</v>
      </c>
    </row>
    <row r="139" spans="1:6" x14ac:dyDescent="0.3">
      <c r="A139" s="89">
        <v>82000</v>
      </c>
      <c r="B139" s="89">
        <v>69000</v>
      </c>
      <c r="C139" s="89">
        <v>89000</v>
      </c>
      <c r="D139" s="89">
        <v>81000</v>
      </c>
      <c r="F139" s="1" t="s">
        <v>1404</v>
      </c>
    </row>
    <row r="140" spans="1:6" x14ac:dyDescent="0.3">
      <c r="A140" s="89">
        <v>90000</v>
      </c>
      <c r="B140" s="89">
        <v>71000</v>
      </c>
      <c r="C140" s="89">
        <v>92000</v>
      </c>
      <c r="D140" s="89">
        <v>79000</v>
      </c>
      <c r="F140" t="s">
        <v>1405</v>
      </c>
    </row>
    <row r="141" spans="1:6" x14ac:dyDescent="0.3">
      <c r="A141" s="89">
        <v>87000</v>
      </c>
      <c r="B141" s="89">
        <v>74000</v>
      </c>
      <c r="C141" s="89">
        <v>90000</v>
      </c>
      <c r="D141" s="89">
        <v>76000</v>
      </c>
      <c r="F141" t="s">
        <v>1406</v>
      </c>
    </row>
    <row r="142" spans="1:6" x14ac:dyDescent="0.3">
      <c r="F142" t="s">
        <v>1407</v>
      </c>
    </row>
    <row r="146" spans="1:8" ht="15.6" x14ac:dyDescent="0.3">
      <c r="A146" s="131" t="s">
        <v>1408</v>
      </c>
      <c r="B146" s="128"/>
      <c r="C146" s="128"/>
      <c r="D146" s="128"/>
      <c r="E146" s="128"/>
      <c r="F146" s="128"/>
      <c r="G146" s="128"/>
      <c r="H146" s="128"/>
    </row>
    <row r="148" spans="1:8" x14ac:dyDescent="0.3">
      <c r="A148" s="1" t="s">
        <v>1409</v>
      </c>
    </row>
    <row r="150" spans="1:8" x14ac:dyDescent="0.3">
      <c r="A150" t="s">
        <v>1410</v>
      </c>
    </row>
    <row r="152" spans="1:8" x14ac:dyDescent="0.3">
      <c r="A152" s="1" t="s">
        <v>1411</v>
      </c>
    </row>
    <row r="153" spans="1:8" x14ac:dyDescent="0.3">
      <c r="A153" t="s">
        <v>1412</v>
      </c>
    </row>
    <row r="154" spans="1:8" x14ac:dyDescent="0.3">
      <c r="A154" t="s">
        <v>1413</v>
      </c>
    </row>
    <row r="155" spans="1:8" x14ac:dyDescent="0.3">
      <c r="A155" t="s">
        <v>1414</v>
      </c>
    </row>
    <row r="156" spans="1:8" x14ac:dyDescent="0.3">
      <c r="A156" t="s">
        <v>1415</v>
      </c>
    </row>
    <row r="157" spans="1:8" x14ac:dyDescent="0.3">
      <c r="A157" t="s">
        <v>1416</v>
      </c>
    </row>
    <row r="160" spans="1:8" x14ac:dyDescent="0.3">
      <c r="A160" s="1" t="s">
        <v>1417</v>
      </c>
      <c r="E160" s="1" t="s">
        <v>1421</v>
      </c>
    </row>
    <row r="161" spans="1:5" x14ac:dyDescent="0.3">
      <c r="E161" t="s">
        <v>1422</v>
      </c>
    </row>
    <row r="162" spans="1:5" x14ac:dyDescent="0.3">
      <c r="A162" t="s">
        <v>1418</v>
      </c>
      <c r="E162" t="s">
        <v>1423</v>
      </c>
    </row>
    <row r="163" spans="1:5" x14ac:dyDescent="0.3">
      <c r="E163" t="s">
        <v>1424</v>
      </c>
    </row>
    <row r="164" spans="1:5" x14ac:dyDescent="0.3">
      <c r="A164" s="1" t="s">
        <v>1419</v>
      </c>
      <c r="E164" t="s">
        <v>1425</v>
      </c>
    </row>
    <row r="165" spans="1:5" x14ac:dyDescent="0.3">
      <c r="E165" t="s">
        <v>1426</v>
      </c>
    </row>
    <row r="166" spans="1:5" x14ac:dyDescent="0.3">
      <c r="A166" s="66" t="s">
        <v>409</v>
      </c>
      <c r="B166" s="66" t="s">
        <v>683</v>
      </c>
      <c r="C166" s="66" t="s">
        <v>1420</v>
      </c>
      <c r="E166" s="126" t="s">
        <v>1390</v>
      </c>
    </row>
    <row r="167" spans="1:5" x14ac:dyDescent="0.3">
      <c r="A167" s="17" t="s">
        <v>1282</v>
      </c>
      <c r="B167" s="89">
        <v>45000</v>
      </c>
      <c r="C167" s="89"/>
    </row>
    <row r="168" spans="1:5" x14ac:dyDescent="0.3">
      <c r="A168" s="17" t="s">
        <v>1283</v>
      </c>
      <c r="B168" s="89">
        <v>48000</v>
      </c>
      <c r="C168" s="89"/>
    </row>
    <row r="169" spans="1:5" x14ac:dyDescent="0.3">
      <c r="A169" s="17" t="s">
        <v>1284</v>
      </c>
      <c r="B169" s="89">
        <v>52000</v>
      </c>
      <c r="C169" s="89"/>
    </row>
    <row r="170" spans="1:5" x14ac:dyDescent="0.3">
      <c r="A170" s="17" t="s">
        <v>1285</v>
      </c>
      <c r="B170" s="89">
        <v>49000</v>
      </c>
      <c r="C170" s="89"/>
    </row>
    <row r="171" spans="1:5" x14ac:dyDescent="0.3">
      <c r="A171" s="17" t="s">
        <v>1286</v>
      </c>
      <c r="B171" s="89">
        <v>55000</v>
      </c>
      <c r="C171" s="89"/>
    </row>
    <row r="172" spans="1:5" x14ac:dyDescent="0.3">
      <c r="A172" s="17" t="s">
        <v>1287</v>
      </c>
      <c r="B172" s="89">
        <v>58000</v>
      </c>
      <c r="C172" s="89"/>
    </row>
    <row r="173" spans="1:5" x14ac:dyDescent="0.3">
      <c r="A173" s="17" t="s">
        <v>1288</v>
      </c>
      <c r="B173" s="89">
        <v>54000</v>
      </c>
      <c r="C173" s="89"/>
    </row>
    <row r="174" spans="1:5" x14ac:dyDescent="0.3">
      <c r="A174" s="17" t="s">
        <v>1289</v>
      </c>
      <c r="B174" s="89">
        <v>60000</v>
      </c>
      <c r="C174" s="89"/>
    </row>
    <row r="175" spans="1:5" x14ac:dyDescent="0.3">
      <c r="A175" s="17" t="s">
        <v>1290</v>
      </c>
      <c r="B175" s="89">
        <v>62000</v>
      </c>
      <c r="C175" s="89"/>
    </row>
    <row r="176" spans="1:5" x14ac:dyDescent="0.3">
      <c r="A176" s="17" t="s">
        <v>1291</v>
      </c>
      <c r="B176" s="89">
        <v>58000</v>
      </c>
      <c r="C176" s="89"/>
    </row>
    <row r="177" spans="1:8" x14ac:dyDescent="0.3">
      <c r="A177" s="17" t="s">
        <v>1292</v>
      </c>
      <c r="B177" s="89">
        <v>65000</v>
      </c>
      <c r="C177" s="89"/>
    </row>
    <row r="178" spans="1:8" x14ac:dyDescent="0.3">
      <c r="A178" s="17" t="s">
        <v>1293</v>
      </c>
      <c r="B178" s="89">
        <v>70000</v>
      </c>
      <c r="C178" s="89"/>
    </row>
    <row r="182" spans="1:8" ht="15.6" x14ac:dyDescent="0.3">
      <c r="A182" s="131" t="s">
        <v>1427</v>
      </c>
      <c r="B182" s="128"/>
      <c r="C182" s="128"/>
      <c r="D182" s="128"/>
      <c r="E182" s="128"/>
      <c r="F182" s="128"/>
      <c r="G182" s="128"/>
      <c r="H182" s="128"/>
    </row>
    <row r="184" spans="1:8" x14ac:dyDescent="0.3">
      <c r="A184" t="s">
        <v>1428</v>
      </c>
    </row>
    <row r="186" spans="1:8" x14ac:dyDescent="0.3">
      <c r="A186" s="19" t="s">
        <v>1429</v>
      </c>
      <c r="B186" s="19" t="s">
        <v>1430</v>
      </c>
      <c r="C186" s="19" t="s">
        <v>171</v>
      </c>
    </row>
    <row r="187" spans="1:8" x14ac:dyDescent="0.3">
      <c r="A187" s="17" t="s">
        <v>1243</v>
      </c>
      <c r="B187" s="17" t="s">
        <v>1431</v>
      </c>
      <c r="C187" s="17"/>
    </row>
    <row r="188" spans="1:8" x14ac:dyDescent="0.3">
      <c r="A188" s="17" t="s">
        <v>1432</v>
      </c>
      <c r="B188" s="17" t="s">
        <v>1433</v>
      </c>
      <c r="C188" s="17"/>
    </row>
    <row r="189" spans="1:8" x14ac:dyDescent="0.3">
      <c r="A189" s="17" t="s">
        <v>1434</v>
      </c>
      <c r="B189" s="17" t="s">
        <v>1435</v>
      </c>
      <c r="C189" s="17"/>
    </row>
    <row r="190" spans="1:8" x14ac:dyDescent="0.3">
      <c r="A190" s="17" t="s">
        <v>1436</v>
      </c>
      <c r="B190" s="17" t="s">
        <v>1437</v>
      </c>
      <c r="C190" s="17"/>
    </row>
    <row r="191" spans="1:8" x14ac:dyDescent="0.3">
      <c r="A191" s="17" t="s">
        <v>1438</v>
      </c>
      <c r="B191" s="17" t="s">
        <v>1439</v>
      </c>
      <c r="C191" s="17"/>
    </row>
    <row r="192" spans="1:8" x14ac:dyDescent="0.3">
      <c r="A192" s="17" t="s">
        <v>666</v>
      </c>
      <c r="B192" s="17" t="s">
        <v>1440</v>
      </c>
      <c r="C192" s="17"/>
    </row>
    <row r="193" spans="1:8" x14ac:dyDescent="0.3">
      <c r="A193" s="17" t="s">
        <v>1441</v>
      </c>
      <c r="B193" s="17" t="s">
        <v>1442</v>
      </c>
      <c r="C193" s="17"/>
    </row>
    <row r="194" spans="1:8" x14ac:dyDescent="0.3">
      <c r="A194" s="17" t="s">
        <v>1443</v>
      </c>
      <c r="B194" s="17" t="s">
        <v>1444</v>
      </c>
      <c r="C194" s="17"/>
    </row>
    <row r="195" spans="1:8" x14ac:dyDescent="0.3">
      <c r="A195" s="17" t="s">
        <v>1445</v>
      </c>
      <c r="B195" s="17" t="s">
        <v>1446</v>
      </c>
      <c r="C195" s="17"/>
    </row>
    <row r="196" spans="1:8" x14ac:dyDescent="0.3">
      <c r="A196" s="17" t="s">
        <v>1447</v>
      </c>
      <c r="B196" s="17" t="s">
        <v>1448</v>
      </c>
      <c r="C196" s="17"/>
    </row>
    <row r="200" spans="1:8" ht="15.6" x14ac:dyDescent="0.3">
      <c r="A200" s="131" t="s">
        <v>1449</v>
      </c>
      <c r="B200" s="128"/>
      <c r="C200" s="128"/>
      <c r="D200" s="128"/>
      <c r="E200" s="128"/>
      <c r="F200" s="128"/>
      <c r="G200" s="128"/>
      <c r="H200" s="128"/>
    </row>
    <row r="202" spans="1:8" x14ac:dyDescent="0.3">
      <c r="A202" t="s">
        <v>1450</v>
      </c>
    </row>
    <row r="204" spans="1:8" x14ac:dyDescent="0.3">
      <c r="A204" s="6" t="s">
        <v>1451</v>
      </c>
    </row>
    <row r="205" spans="1:8" x14ac:dyDescent="0.3">
      <c r="A205" t="s">
        <v>1452</v>
      </c>
    </row>
    <row r="206" spans="1:8" x14ac:dyDescent="0.3">
      <c r="A206" t="s">
        <v>1453</v>
      </c>
    </row>
    <row r="207" spans="1:8" x14ac:dyDescent="0.3">
      <c r="A207" t="s">
        <v>1454</v>
      </c>
    </row>
    <row r="208" spans="1:8" x14ac:dyDescent="0.3">
      <c r="A208" t="s">
        <v>1455</v>
      </c>
    </row>
    <row r="209" spans="1:1" x14ac:dyDescent="0.3">
      <c r="A209" t="s">
        <v>1456</v>
      </c>
    </row>
    <row r="211" spans="1:1" x14ac:dyDescent="0.3">
      <c r="A211" s="6" t="s">
        <v>1457</v>
      </c>
    </row>
    <row r="212" spans="1:1" x14ac:dyDescent="0.3">
      <c r="A212" t="s">
        <v>1458</v>
      </c>
    </row>
    <row r="213" spans="1:1" x14ac:dyDescent="0.3">
      <c r="A213" t="s">
        <v>1459</v>
      </c>
    </row>
    <row r="214" spans="1:1" x14ac:dyDescent="0.3">
      <c r="A214" t="s">
        <v>1460</v>
      </c>
    </row>
    <row r="215" spans="1:1" x14ac:dyDescent="0.3">
      <c r="A215" t="s">
        <v>1461</v>
      </c>
    </row>
    <row r="216" spans="1:1" x14ac:dyDescent="0.3">
      <c r="A216" t="s">
        <v>1462</v>
      </c>
    </row>
    <row r="218" spans="1:1" x14ac:dyDescent="0.3">
      <c r="A218" s="6" t="s">
        <v>1463</v>
      </c>
    </row>
    <row r="219" spans="1:1" x14ac:dyDescent="0.3">
      <c r="A219" t="s">
        <v>1464</v>
      </c>
    </row>
    <row r="220" spans="1:1" x14ac:dyDescent="0.3">
      <c r="A220" t="s">
        <v>1465</v>
      </c>
    </row>
    <row r="221" spans="1:1" x14ac:dyDescent="0.3">
      <c r="A221" t="s">
        <v>1466</v>
      </c>
    </row>
    <row r="222" spans="1:1" x14ac:dyDescent="0.3">
      <c r="A222" t="s">
        <v>1467</v>
      </c>
    </row>
    <row r="223" spans="1:1" x14ac:dyDescent="0.3">
      <c r="A223" t="s">
        <v>1468</v>
      </c>
    </row>
    <row r="225" spans="1:1" x14ac:dyDescent="0.3">
      <c r="A225" s="6" t="s">
        <v>1469</v>
      </c>
    </row>
    <row r="226" spans="1:1" x14ac:dyDescent="0.3">
      <c r="A226" t="s">
        <v>1470</v>
      </c>
    </row>
    <row r="227" spans="1:1" x14ac:dyDescent="0.3">
      <c r="A227" t="s">
        <v>1471</v>
      </c>
    </row>
    <row r="228" spans="1:1" x14ac:dyDescent="0.3">
      <c r="A228" t="s">
        <v>1472</v>
      </c>
    </row>
    <row r="229" spans="1:1" x14ac:dyDescent="0.3">
      <c r="A229" t="s">
        <v>1473</v>
      </c>
    </row>
    <row r="230" spans="1:1" x14ac:dyDescent="0.3">
      <c r="A230" t="s">
        <v>1474</v>
      </c>
    </row>
    <row r="232" spans="1:1" x14ac:dyDescent="0.3">
      <c r="A232" s="6" t="s">
        <v>1475</v>
      </c>
    </row>
    <row r="233" spans="1:1" x14ac:dyDescent="0.3">
      <c r="A233" t="s">
        <v>1476</v>
      </c>
    </row>
    <row r="234" spans="1:1" x14ac:dyDescent="0.3">
      <c r="A234" t="s">
        <v>1477</v>
      </c>
    </row>
    <row r="235" spans="1:1" x14ac:dyDescent="0.3">
      <c r="A235" t="s">
        <v>1478</v>
      </c>
    </row>
    <row r="236" spans="1:1" x14ac:dyDescent="0.3">
      <c r="A236" t="s">
        <v>1479</v>
      </c>
    </row>
    <row r="237" spans="1:1" x14ac:dyDescent="0.3">
      <c r="A237" t="s">
        <v>1480</v>
      </c>
    </row>
    <row r="241" spans="1:8" ht="15.6" x14ac:dyDescent="0.3">
      <c r="A241" s="127" t="s">
        <v>1070</v>
      </c>
      <c r="B241" s="128"/>
      <c r="C241" s="128"/>
      <c r="D241" s="128"/>
      <c r="E241" s="128"/>
      <c r="F241" s="128"/>
      <c r="G241" s="128"/>
      <c r="H241" s="128"/>
    </row>
    <row r="243" spans="1:8" x14ac:dyDescent="0.3">
      <c r="A243" s="1" t="s">
        <v>1481</v>
      </c>
    </row>
    <row r="244" spans="1:8" x14ac:dyDescent="0.3">
      <c r="A244" t="s">
        <v>1482</v>
      </c>
    </row>
    <row r="245" spans="1:8" x14ac:dyDescent="0.3">
      <c r="A245" t="s">
        <v>1483</v>
      </c>
    </row>
    <row r="246" spans="1:8" x14ac:dyDescent="0.3">
      <c r="A246" t="s">
        <v>1484</v>
      </c>
    </row>
    <row r="247" spans="1:8" x14ac:dyDescent="0.3">
      <c r="A247" t="s">
        <v>1485</v>
      </c>
    </row>
    <row r="248" spans="1:8" x14ac:dyDescent="0.3">
      <c r="A248" t="s">
        <v>1486</v>
      </c>
    </row>
    <row r="250" spans="1:8" x14ac:dyDescent="0.3">
      <c r="A250" s="1" t="s">
        <v>1487</v>
      </c>
    </row>
    <row r="251" spans="1:8" x14ac:dyDescent="0.3">
      <c r="A251" t="s">
        <v>1488</v>
      </c>
    </row>
    <row r="252" spans="1:8" x14ac:dyDescent="0.3">
      <c r="A252" t="s">
        <v>1489</v>
      </c>
    </row>
    <row r="253" spans="1:8" x14ac:dyDescent="0.3">
      <c r="A253" t="s">
        <v>1490</v>
      </c>
    </row>
    <row r="254" spans="1:8" x14ac:dyDescent="0.3">
      <c r="A254" t="s">
        <v>1491</v>
      </c>
    </row>
    <row r="255" spans="1:8" x14ac:dyDescent="0.3">
      <c r="A255" t="s">
        <v>1492</v>
      </c>
    </row>
    <row r="257" spans="1:1" x14ac:dyDescent="0.3">
      <c r="A257" s="1" t="s">
        <v>1493</v>
      </c>
    </row>
    <row r="258" spans="1:1" x14ac:dyDescent="0.3">
      <c r="A258" t="s">
        <v>1494</v>
      </c>
    </row>
    <row r="259" spans="1:1" x14ac:dyDescent="0.3">
      <c r="A259" t="s">
        <v>1495</v>
      </c>
    </row>
    <row r="260" spans="1:1" x14ac:dyDescent="0.3">
      <c r="A260" t="s">
        <v>1496</v>
      </c>
    </row>
  </sheetData>
  <mergeCells count="12">
    <mergeCell ref="A241:H241"/>
    <mergeCell ref="A1:H1"/>
    <mergeCell ref="A2:H2"/>
    <mergeCell ref="A4:H4"/>
    <mergeCell ref="A30:H30"/>
    <mergeCell ref="A62:H62"/>
    <mergeCell ref="A82:H82"/>
    <mergeCell ref="A99:H99"/>
    <mergeCell ref="A127:H127"/>
    <mergeCell ref="A146:H146"/>
    <mergeCell ref="A182:H182"/>
    <mergeCell ref="A200:H2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 Table of Contents</vt:lpstr>
      <vt:lpstr>References</vt:lpstr>
      <vt:lpstr>2. Intermediate Formulas</vt:lpstr>
      <vt:lpstr>3. Advanced Formulas</vt:lpstr>
      <vt:lpstr>4. Data Analysis Tools</vt:lpstr>
      <vt:lpstr>Data Validation</vt:lpstr>
      <vt:lpstr>5. Advanced Features</vt:lpstr>
      <vt:lpstr>6. Case Study - Data</vt:lpstr>
      <vt:lpstr>Filter</vt:lpstr>
      <vt:lpstr>7. Case Study - Analysis</vt:lpstr>
      <vt:lpstr>What-If Analysis Exercises</vt:lpstr>
      <vt:lpstr>8. Practice Exercises</vt:lpstr>
      <vt:lpstr>9. Data Analysis ToolPak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cp:lastPrinted>2026-04-27T02:01:35Z</cp:lastPrinted>
  <dcterms:created xsi:type="dcterms:W3CDTF">2026-04-27T00:55:01Z</dcterms:created>
  <dcterms:modified xsi:type="dcterms:W3CDTF">2026-05-17T17:03:08Z</dcterms:modified>
</cp:coreProperties>
</file>