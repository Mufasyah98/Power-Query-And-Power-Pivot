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ales Data" sheetId="2" state="visible" r:id="rId4"/>
    <sheet name="Data Dictionary" sheetId="3" state="visible" r:id="rId5"/>
    <sheet name="Case Studies" sheetId="4" state="visible" r:id="rId6"/>
  </sheets>
  <definedNames>
    <definedName function="false" hidden="true" localSheetId="1" name="_xlnm._FilterDatabase" vbProcedure="false">'Sales Data'!$A$1:$S$1101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<sst xmlns="http://schemas.openxmlformats.org/spreadsheetml/2006/main" count="12329" uniqueCount="1386">
  <si>
    <t xml:space="preserve">PivotTable Mastery — Training Dataset</t>
  </si>
  <si>
    <t xml:space="preserve">Beginner → Intermediate → Advanced  |  Case-Study Based  |  Malaysian Business Context</t>
  </si>
  <si>
    <t xml:space="preserve">Scenario</t>
  </si>
  <si>
    <t xml:space="preserve">NovaTech Distribution Sdn Bhd is a Malaysian office-technology distributor supplying laptops, office supplies, furniture and software to clients nationwide. This workbook contains 1,100 real-style sales transactions (2024–2025) for you to analyse using Microsoft Excel PivotTables.</t>
  </si>
  <si>
    <t xml:space="preserve">How to use</t>
  </si>
  <si>
    <t xml:space="preserve">Work through the CASE STUDIES sheet from top to bottom. Each case is a real business question. Build a PivotTable from the SALES DATA sheet to answer it. Cases are grouped by difficulty so skills build up.</t>
  </si>
  <si>
    <t xml:space="preserve">Build a PivotTable</t>
  </si>
  <si>
    <t xml:space="preserve">Click any cell inside the SALES DATA table → Insert → PivotTable → New Worksheet → OK. Then drag fields into Filters / Columns / Rows / Values.</t>
  </si>
  <si>
    <t xml:space="preserve">Tip</t>
  </si>
  <si>
    <t xml:space="preserve">Convert the data to an Excel Table first (Ctrl+T) so your PivotTable auto-expands when data changes.</t>
  </si>
  <si>
    <t xml:space="preserve">WORKBOOK CONTENTS</t>
  </si>
  <si>
    <t xml:space="preserve">Sales Data</t>
  </si>
  <si>
    <t xml:space="preserve">1,100 transactions — your source table for every PivotTable</t>
  </si>
  <si>
    <t xml:space="preserve">Data Dictionary</t>
  </si>
  <si>
    <t xml:space="preserve">What every column means + data types</t>
  </si>
  <si>
    <t xml:space="preserve">Case Studies</t>
  </si>
  <si>
    <t xml:space="preserve">30 guided exercises, Beginner to Advanced, with hints &amp; target answers</t>
  </si>
  <si>
    <t xml:space="preserve">Fakhrul Syahmi | Data Consultant &amp; Certified Trainer  •  mufasyahcons@gmail.com  •  © 2026</t>
  </si>
  <si>
    <t xml:space="preserve">Order ID</t>
  </si>
  <si>
    <t xml:space="preserve">Order Date</t>
  </si>
  <si>
    <t xml:space="preserve">Region</t>
  </si>
  <si>
    <t xml:space="preserve">State</t>
  </si>
  <si>
    <t xml:space="preserve">City</t>
  </si>
  <si>
    <t xml:space="preserve">Salesperson</t>
  </si>
  <si>
    <t xml:space="preserve">Customer Segment</t>
  </si>
  <si>
    <t xml:space="preserve">Product Category</t>
  </si>
  <si>
    <t xml:space="preserve">Sub-Category</t>
  </si>
  <si>
    <t xml:space="preserve">Product Name</t>
  </si>
  <si>
    <t xml:space="preserve">Unit Price (RM)</t>
  </si>
  <si>
    <t xml:space="preserve">Quantity</t>
  </si>
  <si>
    <t xml:space="preserve">Discount %</t>
  </si>
  <si>
    <t xml:space="preserve">Unit Cost (RM)</t>
  </si>
  <si>
    <t xml:space="preserve">Revenue (RM)</t>
  </si>
  <si>
    <t xml:space="preserve">Total Cost (RM)</t>
  </si>
  <si>
    <t xml:space="preserve">Profit (RM)</t>
  </si>
  <si>
    <t xml:space="preserve">Payment Method</t>
  </si>
  <si>
    <t xml:space="preserve">Order Status</t>
  </si>
  <si>
    <t xml:space="preserve">ORD-2024-00285</t>
  </si>
  <si>
    <t xml:space="preserve">Southern</t>
  </si>
  <si>
    <t xml:space="preserve">Johor</t>
  </si>
  <si>
    <t xml:space="preserve">Johor Bahru</t>
  </si>
  <si>
    <t xml:space="preserve">Siti Aminah</t>
  </si>
  <si>
    <t xml:space="preserve">SME</t>
  </si>
  <si>
    <t xml:space="preserve">Software</t>
  </si>
  <si>
    <t xml:space="preserve">Licenses</t>
  </si>
  <si>
    <t xml:space="preserve">Antivirus License (1yr)</t>
  </si>
  <si>
    <t xml:space="preserve">Bank Transfer</t>
  </si>
  <si>
    <t xml:space="preserve">Completed</t>
  </si>
  <si>
    <t xml:space="preserve">ORD-2024-00429</t>
  </si>
  <si>
    <t xml:space="preserve">Central</t>
  </si>
  <si>
    <t xml:space="preserve">Putrajaya</t>
  </si>
  <si>
    <t xml:space="preserve">Nurul Huda</t>
  </si>
  <si>
    <t xml:space="preserve">Corporate</t>
  </si>
  <si>
    <t xml:space="preserve">Office Supplies</t>
  </si>
  <si>
    <t xml:space="preserve">Filing</t>
  </si>
  <si>
    <t xml:space="preserve">Document Folder Pack</t>
  </si>
  <si>
    <t xml:space="preserve">ORD-2024-00440</t>
  </si>
  <si>
    <t xml:space="preserve">East Coast</t>
  </si>
  <si>
    <t xml:space="preserve">Terengganu</t>
  </si>
  <si>
    <t xml:space="preserve">Kuala Terengganu</t>
  </si>
  <si>
    <t xml:space="preserve">Hafiz Zulkifli</t>
  </si>
  <si>
    <t xml:space="preserve">Cloud</t>
  </si>
  <si>
    <t xml:space="preserve">Cloud Backup Service</t>
  </si>
  <si>
    <t xml:space="preserve">Credit Card</t>
  </si>
  <si>
    <t xml:space="preserve">ORD-2024-00223</t>
  </si>
  <si>
    <t xml:space="preserve">Northern</t>
  </si>
  <si>
    <t xml:space="preserve">Perlis</t>
  </si>
  <si>
    <t xml:space="preserve">Kangar</t>
  </si>
  <si>
    <t xml:space="preserve">Daniel Tan</t>
  </si>
  <si>
    <t xml:space="preserve">Paper</t>
  </si>
  <si>
    <t xml:space="preserve">A3 Paper Ream (80gsm)</t>
  </si>
  <si>
    <t xml:space="preserve">Cash</t>
  </si>
  <si>
    <t xml:space="preserve">Pending</t>
  </si>
  <si>
    <t xml:space="preserve">ORD-2024-00417</t>
  </si>
  <si>
    <t xml:space="preserve">East Malaysia</t>
  </si>
  <si>
    <t xml:space="preserve">Sarawak</t>
  </si>
  <si>
    <t xml:space="preserve">Kuching</t>
  </si>
  <si>
    <t xml:space="preserve">Government</t>
  </si>
  <si>
    <t xml:space="preserve">Electronics</t>
  </si>
  <si>
    <t xml:space="preserve">Laptops</t>
  </si>
  <si>
    <t xml:space="preserve">HP ProBook 450</t>
  </si>
  <si>
    <t xml:space="preserve">ORD-2024-00058</t>
  </si>
  <si>
    <t xml:space="preserve">Perak</t>
  </si>
  <si>
    <t xml:space="preserve">Ipoh</t>
  </si>
  <si>
    <t xml:space="preserve">Furniture</t>
  </si>
  <si>
    <t xml:space="preserve">Storage</t>
  </si>
  <si>
    <t xml:space="preserve">Bookshelf (5-Tier)</t>
  </si>
  <si>
    <t xml:space="preserve">ORD-2024-00130</t>
  </si>
  <si>
    <t xml:space="preserve">Negeri Sembilan</t>
  </si>
  <si>
    <t xml:space="preserve">Seremban</t>
  </si>
  <si>
    <t xml:space="preserve">Steel Filing Cabinet</t>
  </si>
  <si>
    <t xml:space="preserve">ORD-2024-00170</t>
  </si>
  <si>
    <t xml:space="preserve">Melaka</t>
  </si>
  <si>
    <t xml:space="preserve">Melaka City</t>
  </si>
  <si>
    <t xml:space="preserve">Writing</t>
  </si>
  <si>
    <t xml:space="preserve">Ballpoint Pen Box (50)</t>
  </si>
  <si>
    <t xml:space="preserve">ORD-2024-00425</t>
  </si>
  <si>
    <t xml:space="preserve">Selangor</t>
  </si>
  <si>
    <t xml:space="preserve">Subang Jaya</t>
  </si>
  <si>
    <t xml:space="preserve">Aisyah Rahman</t>
  </si>
  <si>
    <t xml:space="preserve">Desks</t>
  </si>
  <si>
    <t xml:space="preserve">Standing Desk (Electric)</t>
  </si>
  <si>
    <t xml:space="preserve">ORD-2024-00166</t>
  </si>
  <si>
    <t xml:space="preserve">Kelantan</t>
  </si>
  <si>
    <t xml:space="preserve">Kota Bharu</t>
  </si>
  <si>
    <t xml:space="preserve">ORD-2024-00500</t>
  </si>
  <si>
    <t xml:space="preserve">MS 365 Business License</t>
  </si>
  <si>
    <t xml:space="preserve">ORD-2024-00189</t>
  </si>
  <si>
    <t xml:space="preserve">Shah Alam</t>
  </si>
  <si>
    <t xml:space="preserve">Farah Iskandar</t>
  </si>
  <si>
    <t xml:space="preserve">ORD-2024-00337</t>
  </si>
  <si>
    <t xml:space="preserve">ORD-2024-00226</t>
  </si>
  <si>
    <t xml:space="preserve">Petaling Jaya</t>
  </si>
  <si>
    <t xml:space="preserve">Box File (A4)</t>
  </si>
  <si>
    <t xml:space="preserve">E-Wallet</t>
  </si>
  <si>
    <t xml:space="preserve">ORD-2024-00211</t>
  </si>
  <si>
    <t xml:space="preserve">Kedah</t>
  </si>
  <si>
    <t xml:space="preserve">Alor Setar</t>
  </si>
  <si>
    <t xml:space="preserve">Arif Hakimi</t>
  </si>
  <si>
    <t xml:space="preserve">ORD-2024-00423</t>
  </si>
  <si>
    <t xml:space="preserve">Accessories</t>
  </si>
  <si>
    <t xml:space="preserve">Mechanical Keyboard</t>
  </si>
  <si>
    <t xml:space="preserve">ORD-2024-00229</t>
  </si>
  <si>
    <t xml:space="preserve">Wei Jie Lim</t>
  </si>
  <si>
    <t xml:space="preserve">Cancelled</t>
  </si>
  <si>
    <t xml:space="preserve">ORD-2024-00245</t>
  </si>
  <si>
    <t xml:space="preserve">Education</t>
  </si>
  <si>
    <t xml:space="preserve">ORD-2024-00141</t>
  </si>
  <si>
    <t xml:space="preserve">A4 Paper Ream (80gsm)</t>
  </si>
  <si>
    <t xml:space="preserve">ORD-2024-00201</t>
  </si>
  <si>
    <t xml:space="preserve">Retail</t>
  </si>
  <si>
    <t xml:space="preserve">Whiteboard Marker Set</t>
  </si>
  <si>
    <t xml:space="preserve">ORD-2024-00383</t>
  </si>
  <si>
    <t xml:space="preserve">ORD-2024-00499</t>
  </si>
  <si>
    <t xml:space="preserve">ORD-2024-00006</t>
  </si>
  <si>
    <t xml:space="preserve">Ravi Kumar</t>
  </si>
  <si>
    <t xml:space="preserve">Chairs</t>
  </si>
  <si>
    <t xml:space="preserve">Visitor Chair</t>
  </si>
  <si>
    <t xml:space="preserve">ORD-2024-00075</t>
  </si>
  <si>
    <t xml:space="preserve">Office Desk (1.4m)</t>
  </si>
  <si>
    <t xml:space="preserve">ORD-2024-00114</t>
  </si>
  <si>
    <t xml:space="preserve">ORD-2024-00346</t>
  </si>
  <si>
    <t xml:space="preserve">ORD-2024-00193</t>
  </si>
  <si>
    <t xml:space="preserve">Monitors</t>
  </si>
  <si>
    <t xml:space="preserve">27" 4K Monitor</t>
  </si>
  <si>
    <t xml:space="preserve">ORD-2024-00315</t>
  </si>
  <si>
    <t xml:space="preserve">ORD-2024-00298</t>
  </si>
  <si>
    <t xml:space="preserve">Cloud Storage Plan (1TB)</t>
  </si>
  <si>
    <t xml:space="preserve">ORD-2024-00399</t>
  </si>
  <si>
    <t xml:space="preserve">Penang</t>
  </si>
  <si>
    <t xml:space="preserve">George Town</t>
  </si>
  <si>
    <t xml:space="preserve">ORD-2024-00487</t>
  </si>
  <si>
    <t xml:space="preserve">Kuala Lumpur</t>
  </si>
  <si>
    <t xml:space="preserve">ORD-2024-00048</t>
  </si>
  <si>
    <t xml:space="preserve">Printers</t>
  </si>
  <si>
    <t xml:space="preserve">Color Inkjet Printer</t>
  </si>
  <si>
    <t xml:space="preserve">ORD-2024-00452</t>
  </si>
  <si>
    <t xml:space="preserve">ORD-2024-00434</t>
  </si>
  <si>
    <t xml:space="preserve">24" FHD Monitor</t>
  </si>
  <si>
    <t xml:space="preserve">ORD-2024-00108</t>
  </si>
  <si>
    <t xml:space="preserve">ORD-2024-00020</t>
  </si>
  <si>
    <t xml:space="preserve">ORD-2024-00041</t>
  </si>
  <si>
    <t xml:space="preserve">Pahang</t>
  </si>
  <si>
    <t xml:space="preserve">Kuantan</t>
  </si>
  <si>
    <t xml:space="preserve">ORD-2024-00410</t>
  </si>
  <si>
    <t xml:space="preserve">ORD-2024-00459</t>
  </si>
  <si>
    <t xml:space="preserve">ORD-2024-00235</t>
  </si>
  <si>
    <t xml:space="preserve">Cheque</t>
  </si>
  <si>
    <t xml:space="preserve">ORD-2024-00184</t>
  </si>
  <si>
    <t xml:space="preserve">ORD-2024-00266</t>
  </si>
  <si>
    <t xml:space="preserve">ORD-2024-00287</t>
  </si>
  <si>
    <t xml:space="preserve">Sabah</t>
  </si>
  <si>
    <t xml:space="preserve">Kota Kinabalu</t>
  </si>
  <si>
    <t xml:space="preserve">ORD-2024-00339</t>
  </si>
  <si>
    <t xml:space="preserve">ORD-2024-00448</t>
  </si>
  <si>
    <t xml:space="preserve">ORD-2024-00106</t>
  </si>
  <si>
    <t xml:space="preserve">ORD-2024-00111</t>
  </si>
  <si>
    <t xml:space="preserve">Mei Ling Chong</t>
  </si>
  <si>
    <t xml:space="preserve">ORD-2024-00202</t>
  </si>
  <si>
    <t xml:space="preserve">ORD-2024-00276</t>
  </si>
  <si>
    <t xml:space="preserve">ORD-2024-00167</t>
  </si>
  <si>
    <t xml:space="preserve">ORD-2024-00445</t>
  </si>
  <si>
    <t xml:space="preserve">ORD-2024-00454</t>
  </si>
  <si>
    <t xml:space="preserve">ORD-2024-00460</t>
  </si>
  <si>
    <t xml:space="preserve">ORD-2024-00031</t>
  </si>
  <si>
    <t xml:space="preserve">ORD-2024-00321</t>
  </si>
  <si>
    <t xml:space="preserve">Mono Laser Printer</t>
  </si>
  <si>
    <t xml:space="preserve">Returned</t>
  </si>
  <si>
    <t xml:space="preserve">ORD-2024-00334</t>
  </si>
  <si>
    <t xml:space="preserve">ORD-2024-00488</t>
  </si>
  <si>
    <t xml:space="preserve">ORD-2024-00332</t>
  </si>
  <si>
    <t xml:space="preserve">ORD-2024-00002</t>
  </si>
  <si>
    <t xml:space="preserve">ORD-2024-00066</t>
  </si>
  <si>
    <t xml:space="preserve">ORD-2024-00330</t>
  </si>
  <si>
    <t xml:space="preserve">ORD-2024-00400</t>
  </si>
  <si>
    <t xml:space="preserve">ORD-2024-00018</t>
  </si>
  <si>
    <t xml:space="preserve">ORD-2024-00148</t>
  </si>
  <si>
    <t xml:space="preserve">ORD-2024-00438</t>
  </si>
  <si>
    <t xml:space="preserve">ORD-2024-00042</t>
  </si>
  <si>
    <t xml:space="preserve">ORD-2024-00055</t>
  </si>
  <si>
    <t xml:space="preserve">ORD-2024-00269</t>
  </si>
  <si>
    <t xml:space="preserve">ORD-2024-00076</t>
  </si>
  <si>
    <t xml:space="preserve">ORD-2024-00443</t>
  </si>
  <si>
    <t xml:space="preserve">ORD-2024-00455</t>
  </si>
  <si>
    <t xml:space="preserve">ORD-2024-00034</t>
  </si>
  <si>
    <t xml:space="preserve">ORD-2024-00433</t>
  </si>
  <si>
    <t xml:space="preserve">ORD-2024-00084</t>
  </si>
  <si>
    <t xml:space="preserve">ORD-2024-00187</t>
  </si>
  <si>
    <t xml:space="preserve">ORD-2024-00507</t>
  </si>
  <si>
    <t xml:space="preserve">ORD-2024-00197</t>
  </si>
  <si>
    <t xml:space="preserve">ORD-2024-00262</t>
  </si>
  <si>
    <t xml:space="preserve">ORD-2024-00328</t>
  </si>
  <si>
    <t xml:space="preserve">ORD-2024-00370</t>
  </si>
  <si>
    <t xml:space="preserve">ORD-2024-00119</t>
  </si>
  <si>
    <t xml:space="preserve">ORD-2024-00432</t>
  </si>
  <si>
    <t xml:space="preserve">ORD-2024-00308</t>
  </si>
  <si>
    <t xml:space="preserve">Lenovo ThinkPad E14</t>
  </si>
  <si>
    <t xml:space="preserve">ORD-2024-00194</t>
  </si>
  <si>
    <t xml:space="preserve">ORD-2024-00329</t>
  </si>
  <si>
    <t xml:space="preserve">ORD-2024-00135</t>
  </si>
  <si>
    <t xml:space="preserve">ORD-2024-00210</t>
  </si>
  <si>
    <t xml:space="preserve">ORD-2024-00198</t>
  </si>
  <si>
    <t xml:space="preserve">ORD-2024-00435</t>
  </si>
  <si>
    <t xml:space="preserve">ORD-2024-00302</t>
  </si>
  <si>
    <t xml:space="preserve">ORD-2024-00304</t>
  </si>
  <si>
    <t xml:space="preserve">ORD-2024-00069</t>
  </si>
  <si>
    <t xml:space="preserve">ORD-2024-00140</t>
  </si>
  <si>
    <t xml:space="preserve">ORD-2024-00182</t>
  </si>
  <si>
    <t xml:space="preserve">ORD-2024-00265</t>
  </si>
  <si>
    <t xml:space="preserve">ORD-2024-00142</t>
  </si>
  <si>
    <t xml:space="preserve">ORD-2024-00412</t>
  </si>
  <si>
    <t xml:space="preserve">ORD-2024-00486</t>
  </si>
  <si>
    <t xml:space="preserve">USB-C Docking Hub</t>
  </si>
  <si>
    <t xml:space="preserve">ORD-2024-00037</t>
  </si>
  <si>
    <t xml:space="preserve">ORD-2024-00089</t>
  </si>
  <si>
    <t xml:space="preserve">Wireless Mouse</t>
  </si>
  <si>
    <t xml:space="preserve">ORD-2024-00246</t>
  </si>
  <si>
    <t xml:space="preserve">ORD-2024-00296</t>
  </si>
  <si>
    <t xml:space="preserve">ORD-2024-00411</t>
  </si>
  <si>
    <t xml:space="preserve">ORD-2024-00356</t>
  </si>
  <si>
    <t xml:space="preserve">ORD-2024-00168</t>
  </si>
  <si>
    <t xml:space="preserve">ORD-2024-00227</t>
  </si>
  <si>
    <t xml:space="preserve">Dell Latitude 5440</t>
  </si>
  <si>
    <t xml:space="preserve">ORD-2024-00129</t>
  </si>
  <si>
    <t xml:space="preserve">ORD-2024-00480</t>
  </si>
  <si>
    <t xml:space="preserve">ORD-2024-00502</t>
  </si>
  <si>
    <t xml:space="preserve">ORD-2024-00257</t>
  </si>
  <si>
    <t xml:space="preserve">Ergonomic Office Chair</t>
  </si>
  <si>
    <t xml:space="preserve">ORD-2024-00415</t>
  </si>
  <si>
    <t xml:space="preserve">ORD-2024-00446</t>
  </si>
  <si>
    <t xml:space="preserve">ORD-2024-00044</t>
  </si>
  <si>
    <t xml:space="preserve">ORD-2024-00051</t>
  </si>
  <si>
    <t xml:space="preserve">ORD-2024-00470</t>
  </si>
  <si>
    <t xml:space="preserve">ORD-2024-00316</t>
  </si>
  <si>
    <t xml:space="preserve">ORD-2024-00231</t>
  </si>
  <si>
    <t xml:space="preserve">ORD-2024-00015</t>
  </si>
  <si>
    <t xml:space="preserve">ORD-2024-00303</t>
  </si>
  <si>
    <t xml:space="preserve">ORD-2024-00045</t>
  </si>
  <si>
    <t xml:space="preserve">ORD-2024-00364</t>
  </si>
  <si>
    <t xml:space="preserve">ORD-2024-00469</t>
  </si>
  <si>
    <t xml:space="preserve">ORD-2024-00250</t>
  </si>
  <si>
    <t xml:space="preserve">ORD-2024-00461</t>
  </si>
  <si>
    <t xml:space="preserve">ORD-2024-00463</t>
  </si>
  <si>
    <t xml:space="preserve">ORD-2024-00039</t>
  </si>
  <si>
    <t xml:space="preserve">ORD-2024-00465</t>
  </si>
  <si>
    <t xml:space="preserve">ORD-2024-00028</t>
  </si>
  <si>
    <t xml:space="preserve">ORD-2024-00088</t>
  </si>
  <si>
    <t xml:space="preserve">ORD-2024-00475</t>
  </si>
  <si>
    <t xml:space="preserve">ORD-2024-00484</t>
  </si>
  <si>
    <t xml:space="preserve">ORD-2024-00386</t>
  </si>
  <si>
    <t xml:space="preserve">ORD-2024-00467</t>
  </si>
  <si>
    <t xml:space="preserve">ORD-2024-00218</t>
  </si>
  <si>
    <t xml:space="preserve">ORD-2024-00317</t>
  </si>
  <si>
    <t xml:space="preserve">ORD-2024-00395</t>
  </si>
  <si>
    <t xml:space="preserve">ORD-2024-00062</t>
  </si>
  <si>
    <t xml:space="preserve">ORD-2024-00414</t>
  </si>
  <si>
    <t xml:space="preserve">ORD-2024-00029</t>
  </si>
  <si>
    <t xml:space="preserve">ORD-2024-00476</t>
  </si>
  <si>
    <t xml:space="preserve">ORD-2024-00134</t>
  </si>
  <si>
    <t xml:space="preserve">ORD-2024-00272</t>
  </si>
  <si>
    <t xml:space="preserve">ORD-2024-00456</t>
  </si>
  <si>
    <t xml:space="preserve">ORD-2024-00060</t>
  </si>
  <si>
    <t xml:space="preserve">ORD-2024-00126</t>
  </si>
  <si>
    <t xml:space="preserve">ORD-2024-00206</t>
  </si>
  <si>
    <t xml:space="preserve">ORD-2024-00430</t>
  </si>
  <si>
    <t xml:space="preserve">ORD-2024-00230</t>
  </si>
  <si>
    <t xml:space="preserve">ORD-2024-00504</t>
  </si>
  <si>
    <t xml:space="preserve">ORD-2024-00052</t>
  </si>
  <si>
    <t xml:space="preserve">ORD-2024-00164</t>
  </si>
  <si>
    <t xml:space="preserve">ORD-2024-00442</t>
  </si>
  <si>
    <t xml:space="preserve">ORD-2024-00464</t>
  </si>
  <si>
    <t xml:space="preserve">ORD-2024-00203</t>
  </si>
  <si>
    <t xml:space="preserve">ORD-2024-00259</t>
  </si>
  <si>
    <t xml:space="preserve">ORD-2024-00195</t>
  </si>
  <si>
    <t xml:space="preserve">ORD-2024-00281</t>
  </si>
  <si>
    <t xml:space="preserve">ORD-2024-00421</t>
  </si>
  <si>
    <t xml:space="preserve">ORD-2024-00150</t>
  </si>
  <si>
    <t xml:space="preserve">ORD-2024-00331</t>
  </si>
  <si>
    <t xml:space="preserve">ORD-2024-00286</t>
  </si>
  <si>
    <t xml:space="preserve">ORD-2024-00026</t>
  </si>
  <si>
    <t xml:space="preserve">ORD-2024-00128</t>
  </si>
  <si>
    <t xml:space="preserve">ORD-2024-00357</t>
  </si>
  <si>
    <t xml:space="preserve">ORD-2024-00081</t>
  </si>
  <si>
    <t xml:space="preserve">ORD-2024-00273</t>
  </si>
  <si>
    <t xml:space="preserve">ORD-2024-00163</t>
  </si>
  <si>
    <t xml:space="preserve">ORD-2024-00181</t>
  </si>
  <si>
    <t xml:space="preserve">ORD-2024-00255</t>
  </si>
  <si>
    <t xml:space="preserve">ORD-2024-00261</t>
  </si>
  <si>
    <t xml:space="preserve">ORD-2024-00057</t>
  </si>
  <si>
    <t xml:space="preserve">ORD-2024-00161</t>
  </si>
  <si>
    <t xml:space="preserve">ORD-2024-00191</t>
  </si>
  <si>
    <t xml:space="preserve">ORD-2024-00436</t>
  </si>
  <si>
    <t xml:space="preserve">ORD-2024-00437</t>
  </si>
  <si>
    <t xml:space="preserve">ORD-2024-00158</t>
  </si>
  <si>
    <t xml:space="preserve">ORD-2024-00326</t>
  </si>
  <si>
    <t xml:space="preserve">ORD-2024-00027</t>
  </si>
  <si>
    <t xml:space="preserve">ORD-2024-00190</t>
  </si>
  <si>
    <t xml:space="preserve">ORD-2024-00087</t>
  </si>
  <si>
    <t xml:space="preserve">ORD-2024-00237</t>
  </si>
  <si>
    <t xml:space="preserve">ORD-2024-00036</t>
  </si>
  <si>
    <t xml:space="preserve">ORD-2024-00277</t>
  </si>
  <si>
    <t xml:space="preserve">ORD-2024-00403</t>
  </si>
  <si>
    <t xml:space="preserve">ORD-2024-00072</t>
  </si>
  <si>
    <t xml:space="preserve">ORD-2024-00145</t>
  </si>
  <si>
    <t xml:space="preserve">ORD-2024-00159</t>
  </si>
  <si>
    <t xml:space="preserve">ORD-2024-00396</t>
  </si>
  <si>
    <t xml:space="preserve">ORD-2024-00431</t>
  </si>
  <si>
    <t xml:space="preserve">ORD-2024-00295</t>
  </si>
  <si>
    <t xml:space="preserve">ORD-2024-00372</t>
  </si>
  <si>
    <t xml:space="preserve">ORD-2024-00283</t>
  </si>
  <si>
    <t xml:space="preserve">ORD-2024-00165</t>
  </si>
  <si>
    <t xml:space="preserve">ORD-2024-00366</t>
  </si>
  <si>
    <t xml:space="preserve">ORD-2024-00103</t>
  </si>
  <si>
    <t xml:space="preserve">ORD-2024-00382</t>
  </si>
  <si>
    <t xml:space="preserve">ORD-2024-00388</t>
  </si>
  <si>
    <t xml:space="preserve">ORD-2024-00389</t>
  </si>
  <si>
    <t xml:space="preserve">ORD-2024-00441</t>
  </si>
  <si>
    <t xml:space="preserve">ORD-2024-00001</t>
  </si>
  <si>
    <t xml:space="preserve">ORD-2024-00050</t>
  </si>
  <si>
    <t xml:space="preserve">ORD-2024-00224</t>
  </si>
  <si>
    <t xml:space="preserve">ORD-2024-00253</t>
  </si>
  <si>
    <t xml:space="preserve">ORD-2024-00325</t>
  </si>
  <si>
    <t xml:space="preserve">ORD-2024-00053</t>
  </si>
  <si>
    <t xml:space="preserve">ORD-2024-00362</t>
  </si>
  <si>
    <t xml:space="preserve">ORD-2024-00097</t>
  </si>
  <si>
    <t xml:space="preserve">ORD-2024-00199</t>
  </si>
  <si>
    <t xml:space="preserve">ORD-2024-00212</t>
  </si>
  <si>
    <t xml:space="preserve">ORD-2024-00369</t>
  </si>
  <si>
    <t xml:space="preserve">ORD-2024-00498</t>
  </si>
  <si>
    <t xml:space="preserve">ORD-2024-00059</t>
  </si>
  <si>
    <t xml:space="preserve">ORD-2024-00495</t>
  </si>
  <si>
    <t xml:space="preserve">ORD-2024-00409</t>
  </si>
  <si>
    <t xml:space="preserve">ORD-2024-00494</t>
  </si>
  <si>
    <t xml:space="preserve">ORD-2024-00173</t>
  </si>
  <si>
    <t xml:space="preserve">ORD-2024-00307</t>
  </si>
  <si>
    <t xml:space="preserve">ORD-2024-00047</t>
  </si>
  <si>
    <t xml:space="preserve">ORD-2024-00289</t>
  </si>
  <si>
    <t xml:space="preserve">ORD-2024-00318</t>
  </si>
  <si>
    <t xml:space="preserve">ORD-2024-00023</t>
  </si>
  <si>
    <t xml:space="preserve">ORD-2024-00127</t>
  </si>
  <si>
    <t xml:space="preserve">ORD-2024-00481</t>
  </si>
  <si>
    <t xml:space="preserve">ORD-2024-00251</t>
  </si>
  <si>
    <t xml:space="preserve">ORD-2024-00418</t>
  </si>
  <si>
    <t xml:space="preserve">ORD-2024-00091</t>
  </si>
  <si>
    <t xml:space="preserve">ORD-2024-00491</t>
  </si>
  <si>
    <t xml:space="preserve">ORD-2024-00063</t>
  </si>
  <si>
    <t xml:space="preserve">ORD-2024-00092</t>
  </si>
  <si>
    <t xml:space="preserve">ORD-2024-00171</t>
  </si>
  <si>
    <t xml:space="preserve">ORD-2024-00183</t>
  </si>
  <si>
    <t xml:space="preserve">ORD-2024-00350</t>
  </si>
  <si>
    <t xml:space="preserve">ORD-2024-00094</t>
  </si>
  <si>
    <t xml:space="preserve">ORD-2024-00113</t>
  </si>
  <si>
    <t xml:space="preserve">ORD-2024-00247</t>
  </si>
  <si>
    <t xml:space="preserve">ORD-2024-00353</t>
  </si>
  <si>
    <t xml:space="preserve">ORD-2024-00447</t>
  </si>
  <si>
    <t xml:space="preserve">ORD-2024-00473</t>
  </si>
  <si>
    <t xml:space="preserve">ORD-2024-00338</t>
  </si>
  <si>
    <t xml:space="preserve">ORD-2024-00323</t>
  </si>
  <si>
    <t xml:space="preserve">ORD-2024-00343</t>
  </si>
  <si>
    <t xml:space="preserve">ORD-2024-00117</t>
  </si>
  <si>
    <t xml:space="preserve">ORD-2024-00282</t>
  </si>
  <si>
    <t xml:space="preserve">ORD-2024-00180</t>
  </si>
  <si>
    <t xml:space="preserve">ORD-2024-00416</t>
  </si>
  <si>
    <t xml:space="preserve">ORD-2024-00222</t>
  </si>
  <si>
    <t xml:space="preserve">ORD-2024-00294</t>
  </si>
  <si>
    <t xml:space="preserve">ORD-2024-00280</t>
  </si>
  <si>
    <t xml:space="preserve">ORD-2024-00110</t>
  </si>
  <si>
    <t xml:space="preserve">ORD-2024-00228</t>
  </si>
  <si>
    <t xml:space="preserve">ORD-2024-00385</t>
  </si>
  <si>
    <t xml:space="preserve">ORD-2024-00288</t>
  </si>
  <si>
    <t xml:space="preserve">ORD-2024-00305</t>
  </si>
  <si>
    <t xml:space="preserve">ORD-2024-00115</t>
  </si>
  <si>
    <t xml:space="preserve">ORD-2024-00451</t>
  </si>
  <si>
    <t xml:space="preserve">ORD-2024-00501</t>
  </si>
  <si>
    <t xml:space="preserve">ORD-2024-00271</t>
  </si>
  <si>
    <t xml:space="preserve">ORD-2024-00122</t>
  </si>
  <si>
    <t xml:space="preserve">ORD-2024-00310</t>
  </si>
  <si>
    <t xml:space="preserve">ORD-2024-00098</t>
  </si>
  <si>
    <t xml:space="preserve">ORD-2024-00300</t>
  </si>
  <si>
    <t xml:space="preserve">ORD-2024-00186</t>
  </si>
  <si>
    <t xml:space="preserve">ORD-2024-00260</t>
  </si>
  <si>
    <t xml:space="preserve">ORD-2024-00061</t>
  </si>
  <si>
    <t xml:space="preserve">ORD-2024-00374</t>
  </si>
  <si>
    <t xml:space="preserve">ORD-2024-00340</t>
  </si>
  <si>
    <t xml:space="preserve">ORD-2024-00401</t>
  </si>
  <si>
    <t xml:space="preserve">ORD-2024-00333</t>
  </si>
  <si>
    <t xml:space="preserve">ORD-2024-00477</t>
  </si>
  <si>
    <t xml:space="preserve">ORD-2024-00151</t>
  </si>
  <si>
    <t xml:space="preserve">ORD-2024-00074</t>
  </si>
  <si>
    <t xml:space="preserve">ORD-2024-00291</t>
  </si>
  <si>
    <t xml:space="preserve">ORD-2024-00345</t>
  </si>
  <si>
    <t xml:space="preserve">ORD-2024-00371</t>
  </si>
  <si>
    <t xml:space="preserve">ORD-2024-00378</t>
  </si>
  <si>
    <t xml:space="preserve">ORD-2024-00408</t>
  </si>
  <si>
    <t xml:space="preserve">ORD-2024-00349</t>
  </si>
  <si>
    <t xml:space="preserve">ORD-2024-00033</t>
  </si>
  <si>
    <t xml:space="preserve">ORD-2024-00082</t>
  </si>
  <si>
    <t xml:space="preserve">ORD-2024-00154</t>
  </si>
  <si>
    <t xml:space="preserve">ORD-2024-00489</t>
  </si>
  <si>
    <t xml:space="preserve">ORD-2024-00293</t>
  </si>
  <si>
    <t xml:space="preserve">ORD-2024-00155</t>
  </si>
  <si>
    <t xml:space="preserve">ORD-2024-00275</t>
  </si>
  <si>
    <t xml:space="preserve">ORD-2024-00406</t>
  </si>
  <si>
    <t xml:space="preserve">ORD-2024-00064</t>
  </si>
  <si>
    <t xml:space="preserve">ORD-2024-00205</t>
  </si>
  <si>
    <t xml:space="preserve">ORD-2024-00007</t>
  </si>
  <si>
    <t xml:space="preserve">ORD-2024-00419</t>
  </si>
  <si>
    <t xml:space="preserve">ORD-2024-00196</t>
  </si>
  <si>
    <t xml:space="preserve">ORD-2024-00243</t>
  </si>
  <si>
    <t xml:space="preserve">ORD-2024-00428</t>
  </si>
  <si>
    <t xml:space="preserve">ORD-2024-00506</t>
  </si>
  <si>
    <t xml:space="preserve">ORD-2024-00284</t>
  </si>
  <si>
    <t xml:space="preserve">ORD-2024-00344</t>
  </si>
  <si>
    <t xml:space="preserve">ORD-2024-00169</t>
  </si>
  <si>
    <t xml:space="preserve">ORD-2024-00297</t>
  </si>
  <si>
    <t xml:space="preserve">ORD-2024-00335</t>
  </si>
  <si>
    <t xml:space="preserve">ORD-2024-00398</t>
  </si>
  <si>
    <t xml:space="preserve">ORD-2024-00420</t>
  </si>
  <si>
    <t xml:space="preserve">ORD-2024-00004</t>
  </si>
  <si>
    <t xml:space="preserve">ORD-2024-00497</t>
  </si>
  <si>
    <t xml:space="preserve">ORD-2024-00214</t>
  </si>
  <si>
    <t xml:space="preserve">ORD-2024-00503</t>
  </si>
  <si>
    <t xml:space="preserve">ORD-2024-00009</t>
  </si>
  <si>
    <t xml:space="preserve">ORD-2024-00394</t>
  </si>
  <si>
    <t xml:space="preserve">ORD-2024-00485</t>
  </si>
  <si>
    <t xml:space="preserve">ORD-2024-00083</t>
  </si>
  <si>
    <t xml:space="preserve">ORD-2024-00471</t>
  </si>
  <si>
    <t xml:space="preserve">ORD-2024-00185</t>
  </si>
  <si>
    <t xml:space="preserve">ORD-2024-00054</t>
  </si>
  <si>
    <t xml:space="preserve">ORD-2024-00147</t>
  </si>
  <si>
    <t xml:space="preserve">ORD-2024-00391</t>
  </si>
  <si>
    <t xml:space="preserve">ORD-2024-00021</t>
  </si>
  <si>
    <t xml:space="preserve">ORD-2024-00361</t>
  </si>
  <si>
    <t xml:space="preserve">ORD-2024-00468</t>
  </si>
  <si>
    <t xml:space="preserve">ORD-2024-00348</t>
  </si>
  <si>
    <t xml:space="preserve">ORD-2024-00405</t>
  </si>
  <si>
    <t xml:space="preserve">ORD-2024-00252</t>
  </si>
  <si>
    <t xml:space="preserve">ORD-2024-00078</t>
  </si>
  <si>
    <t xml:space="preserve">ORD-2024-00146</t>
  </si>
  <si>
    <t xml:space="preserve">ORD-2024-00263</t>
  </si>
  <si>
    <t xml:space="preserve">ORD-2024-00274</t>
  </si>
  <si>
    <t xml:space="preserve">ORD-2024-00003</t>
  </si>
  <si>
    <t xml:space="preserve">ORD-2024-00112</t>
  </si>
  <si>
    <t xml:space="preserve">ORD-2024-00268</t>
  </si>
  <si>
    <t xml:space="preserve">ORD-2024-00136</t>
  </si>
  <si>
    <t xml:space="preserve">ORD-2024-00240</t>
  </si>
  <si>
    <t xml:space="preserve">ORD-2024-00381</t>
  </si>
  <si>
    <t xml:space="preserve">ORD-2024-00376</t>
  </si>
  <si>
    <t xml:space="preserve">ORD-2024-00264</t>
  </si>
  <si>
    <t xml:space="preserve">ORD-2024-00204</t>
  </si>
  <si>
    <t xml:space="preserve">ORD-2024-00153</t>
  </si>
  <si>
    <t xml:space="preserve">ORD-2024-00215</t>
  </si>
  <si>
    <t xml:space="preserve">ORD-2024-00133</t>
  </si>
  <si>
    <t xml:space="preserve">ORD-2024-00367</t>
  </si>
  <si>
    <t xml:space="preserve">ORD-2024-00365</t>
  </si>
  <si>
    <t xml:space="preserve">ORD-2024-00086</t>
  </si>
  <si>
    <t xml:space="preserve">ORD-2024-00290</t>
  </si>
  <si>
    <t xml:space="preserve">ORD-2024-00444</t>
  </si>
  <si>
    <t xml:space="preserve">ORD-2024-00008</t>
  </si>
  <si>
    <t xml:space="preserve">ORD-2024-00426</t>
  </si>
  <si>
    <t xml:space="preserve">ORD-2024-00336</t>
  </si>
  <si>
    <t xml:space="preserve">ORD-2024-00347</t>
  </si>
  <si>
    <t xml:space="preserve">ORD-2024-00099</t>
  </si>
  <si>
    <t xml:space="preserve">ORD-2024-00123</t>
  </si>
  <si>
    <t xml:space="preserve">ORD-2024-00358</t>
  </si>
  <si>
    <t xml:space="preserve">ORD-2024-00160</t>
  </si>
  <si>
    <t xml:space="preserve">ORD-2024-00100</t>
  </si>
  <si>
    <t xml:space="preserve">ORD-2024-00379</t>
  </si>
  <si>
    <t xml:space="preserve">ORD-2024-00138</t>
  </si>
  <si>
    <t xml:space="preserve">ORD-2024-00014</t>
  </si>
  <si>
    <t xml:space="preserve">ORD-2024-00176</t>
  </si>
  <si>
    <t xml:space="preserve">ORD-2024-00213</t>
  </si>
  <si>
    <t xml:space="preserve">ORD-2024-00056</t>
  </si>
  <si>
    <t xml:space="preserve">ORD-2024-00124</t>
  </si>
  <si>
    <t xml:space="preserve">ORD-2024-00217</t>
  </si>
  <si>
    <t xml:space="preserve">ORD-2024-00397</t>
  </si>
  <si>
    <t xml:space="preserve">ORD-2024-00032</t>
  </si>
  <si>
    <t xml:space="preserve">ORD-2024-00368</t>
  </si>
  <si>
    <t xml:space="preserve">ORD-2024-00131</t>
  </si>
  <si>
    <t xml:space="preserve">ORD-2024-00320</t>
  </si>
  <si>
    <t xml:space="preserve">ORD-2024-00393</t>
  </si>
  <si>
    <t xml:space="preserve">ORD-2024-00101</t>
  </si>
  <si>
    <t xml:space="preserve">ORD-2024-00132</t>
  </si>
  <si>
    <t xml:space="preserve">ORD-2024-00010</t>
  </si>
  <si>
    <t xml:space="preserve">ORD-2024-00236</t>
  </si>
  <si>
    <t xml:space="preserve">ORD-2024-00239</t>
  </si>
  <si>
    <t xml:space="preserve">ORD-2024-00439</t>
  </si>
  <si>
    <t xml:space="preserve">ORD-2024-00472</t>
  </si>
  <si>
    <t xml:space="preserve">ORD-2024-00035</t>
  </si>
  <si>
    <t xml:space="preserve">ORD-2024-00030</t>
  </si>
  <si>
    <t xml:space="preserve">ORD-2024-00219</t>
  </si>
  <si>
    <t xml:space="preserve">ORD-2024-00118</t>
  </si>
  <si>
    <t xml:space="preserve">ORD-2024-00178</t>
  </si>
  <si>
    <t xml:space="preserve">ORD-2024-00220</t>
  </si>
  <si>
    <t xml:space="preserve">ORD-2024-00221</t>
  </si>
  <si>
    <t xml:space="preserve">ORD-2024-00038</t>
  </si>
  <si>
    <t xml:space="preserve">ORD-2024-00309</t>
  </si>
  <si>
    <t xml:space="preserve">ORD-2024-00311</t>
  </si>
  <si>
    <t xml:space="preserve">ORD-2024-00492</t>
  </si>
  <si>
    <t xml:space="preserve">ORD-2024-00162</t>
  </si>
  <si>
    <t xml:space="preserve">ORD-2024-00025</t>
  </si>
  <si>
    <t xml:space="preserve">ORD-2024-00024</t>
  </si>
  <si>
    <t xml:space="preserve">ORD-2024-00156</t>
  </si>
  <si>
    <t xml:space="preserve">ORD-2024-00505</t>
  </si>
  <si>
    <t xml:space="preserve">ORD-2024-00144</t>
  </si>
  <si>
    <t xml:space="preserve">ORD-2024-00238</t>
  </si>
  <si>
    <t xml:space="preserve">ORD-2024-00479</t>
  </si>
  <si>
    <t xml:space="preserve">ORD-2024-00244</t>
  </si>
  <si>
    <t xml:space="preserve">ORD-2024-00322</t>
  </si>
  <si>
    <t xml:space="preserve">ORD-2024-00017</t>
  </si>
  <si>
    <t xml:space="preserve">ORD-2024-00109</t>
  </si>
  <si>
    <t xml:space="preserve">ORD-2024-00392</t>
  </si>
  <si>
    <t xml:space="preserve">ORD-2024-00077</t>
  </si>
  <si>
    <t xml:space="preserve">ORD-2024-00483</t>
  </si>
  <si>
    <t xml:space="preserve">ORD-2024-00256</t>
  </si>
  <si>
    <t xml:space="preserve">ORD-2024-00341</t>
  </si>
  <si>
    <t xml:space="preserve">ORD-2024-00490</t>
  </si>
  <si>
    <t xml:space="preserve">ORD-2024-00090</t>
  </si>
  <si>
    <t xml:space="preserve">ORD-2024-00105</t>
  </si>
  <si>
    <t xml:space="preserve">ORD-2024-00149</t>
  </si>
  <si>
    <t xml:space="preserve">ORD-2024-00450</t>
  </si>
  <si>
    <t xml:space="preserve">ORD-2024-00482</t>
  </si>
  <si>
    <t xml:space="preserve">ORD-2024-00301</t>
  </si>
  <si>
    <t xml:space="preserve">ORD-2024-00022</t>
  </si>
  <si>
    <t xml:space="preserve">ORD-2024-00233</t>
  </si>
  <si>
    <t xml:space="preserve">ORD-2024-00172</t>
  </si>
  <si>
    <t xml:space="preserve">ORD-2024-00279</t>
  </si>
  <si>
    <t xml:space="preserve">ORD-2024-00474</t>
  </si>
  <si>
    <t xml:space="preserve">ORD-2024-00324</t>
  </si>
  <si>
    <t xml:space="preserve">ORD-2024-00390</t>
  </si>
  <si>
    <t xml:space="preserve">ORD-2024-00104</t>
  </si>
  <si>
    <t xml:space="preserve">ORD-2024-00319</t>
  </si>
  <si>
    <t xml:space="preserve">ORD-2024-00157</t>
  </si>
  <si>
    <t xml:space="preserve">ORD-2024-00174</t>
  </si>
  <si>
    <t xml:space="preserve">ORD-2024-00449</t>
  </si>
  <si>
    <t xml:space="preserve">ORD-2024-00208</t>
  </si>
  <si>
    <t xml:space="preserve">ORD-2024-00375</t>
  </si>
  <si>
    <t xml:space="preserve">ORD-2024-00152</t>
  </si>
  <si>
    <t xml:space="preserve">ORD-2024-00313</t>
  </si>
  <si>
    <t xml:space="preserve">ORD-2024-00016</t>
  </si>
  <si>
    <t xml:space="preserve">ORD-2024-00508</t>
  </si>
  <si>
    <t xml:space="preserve">ORD-2024-00216</t>
  </si>
  <si>
    <t xml:space="preserve">ORD-2024-00351</t>
  </si>
  <si>
    <t xml:space="preserve">ORD-2024-00085</t>
  </si>
  <si>
    <t xml:space="preserve">ORD-2024-00011</t>
  </si>
  <si>
    <t xml:space="preserve">ORD-2024-00242</t>
  </si>
  <si>
    <t xml:space="preserve">ORD-2024-00248</t>
  </si>
  <si>
    <t xml:space="preserve">ORD-2024-00107</t>
  </si>
  <si>
    <t xml:space="preserve">ORD-2024-00299</t>
  </si>
  <si>
    <t xml:space="preserve">ORD-2024-00424</t>
  </si>
  <si>
    <t xml:space="preserve">ORD-2024-00493</t>
  </si>
  <si>
    <t xml:space="preserve">ORD-2024-00496</t>
  </si>
  <si>
    <t xml:space="preserve">ORD-2024-00068</t>
  </si>
  <si>
    <t xml:space="preserve">ORD-2024-00267</t>
  </si>
  <si>
    <t xml:space="preserve">ORD-2024-00005</t>
  </si>
  <si>
    <t xml:space="preserve">ORD-2024-00120</t>
  </si>
  <si>
    <t xml:space="preserve">ORD-2024-00270</t>
  </si>
  <si>
    <t xml:space="preserve">ORD-2024-00073</t>
  </si>
  <si>
    <t xml:space="preserve">ORD-2024-00413</t>
  </si>
  <si>
    <t xml:space="preserve">ORD-2024-00049</t>
  </si>
  <si>
    <t xml:space="preserve">ORD-2024-00095</t>
  </si>
  <si>
    <t xml:space="preserve">ORD-2024-00427</t>
  </si>
  <si>
    <t xml:space="preserve">ORD-2024-00352</t>
  </si>
  <si>
    <t xml:space="preserve">ORD-2024-00012</t>
  </si>
  <si>
    <t xml:space="preserve">ORD-2024-00019</t>
  </si>
  <si>
    <t xml:space="preserve">ORD-2024-00080</t>
  </si>
  <si>
    <t xml:space="preserve">ORD-2024-00312</t>
  </si>
  <si>
    <t xml:space="preserve">ORD-2024-00093</t>
  </si>
  <si>
    <t xml:space="preserve">ORD-2024-00143</t>
  </si>
  <si>
    <t xml:space="preserve">ORD-2024-00254</t>
  </si>
  <si>
    <t xml:space="preserve">ORD-2024-00509</t>
  </si>
  <si>
    <t xml:space="preserve">ORD-2024-00207</t>
  </si>
  <si>
    <t xml:space="preserve">ORD-2024-00363</t>
  </si>
  <si>
    <t xml:space="preserve">ORD-2024-00384</t>
  </si>
  <si>
    <t xml:space="preserve">ORD-2024-00453</t>
  </si>
  <si>
    <t xml:space="preserve">ORD-2024-00079</t>
  </si>
  <si>
    <t xml:space="preserve">ORD-2024-00179</t>
  </si>
  <si>
    <t xml:space="preserve">ORD-2024-00234</t>
  </si>
  <si>
    <t xml:space="preserve">ORD-2024-00402</t>
  </si>
  <si>
    <t xml:space="preserve">ORD-2024-00258</t>
  </si>
  <si>
    <t xml:space="preserve">ORD-2024-00355</t>
  </si>
  <si>
    <t xml:space="preserve">ORD-2024-00387</t>
  </si>
  <si>
    <t xml:space="preserve">ORD-2024-00116</t>
  </si>
  <si>
    <t xml:space="preserve">ORD-2024-00067</t>
  </si>
  <si>
    <t xml:space="preserve">ORD-2024-00102</t>
  </si>
  <si>
    <t xml:space="preserve">ORD-2024-00065</t>
  </si>
  <si>
    <t xml:space="preserve">ORD-2024-00175</t>
  </si>
  <si>
    <t xml:space="preserve">ORD-2024-00241</t>
  </si>
  <si>
    <t xml:space="preserve">ORD-2024-00462</t>
  </si>
  <si>
    <t xml:space="preserve">ORD-2024-00139</t>
  </si>
  <si>
    <t xml:space="preserve">ORD-2024-00232</t>
  </si>
  <si>
    <t xml:space="preserve">ORD-2024-00360</t>
  </si>
  <si>
    <t xml:space="preserve">ORD-2024-00457</t>
  </si>
  <si>
    <t xml:space="preserve">ORD-2024-00342</t>
  </si>
  <si>
    <t xml:space="preserve">ORD-2024-00209</t>
  </si>
  <si>
    <t xml:space="preserve">ORD-2024-00458</t>
  </si>
  <si>
    <t xml:space="preserve">ORD-2024-00478</t>
  </si>
  <si>
    <t xml:space="preserve">ORD-2024-00013</t>
  </si>
  <si>
    <t xml:space="preserve">ORD-2024-00188</t>
  </si>
  <si>
    <t xml:space="preserve">ORD-2024-00327</t>
  </si>
  <si>
    <t xml:space="preserve">ORD-2024-00422</t>
  </si>
  <si>
    <t xml:space="preserve">ORD-2024-00373</t>
  </si>
  <si>
    <t xml:space="preserve">ORD-2024-00377</t>
  </si>
  <si>
    <t xml:space="preserve">ORD-2024-00137</t>
  </si>
  <si>
    <t xml:space="preserve">ORD-2024-00121</t>
  </si>
  <si>
    <t xml:space="preserve">ORD-2024-00200</t>
  </si>
  <si>
    <t xml:space="preserve">ORD-2024-00046</t>
  </si>
  <si>
    <t xml:space="preserve">ORD-2024-00125</t>
  </si>
  <si>
    <t xml:space="preserve">ORD-2024-00354</t>
  </si>
  <si>
    <t xml:space="preserve">ORD-2024-00359</t>
  </si>
  <si>
    <t xml:space="preserve">ORD-2024-00192</t>
  </si>
  <si>
    <t xml:space="preserve">ORD-2024-00306</t>
  </si>
  <si>
    <t xml:space="preserve">ORD-2024-00040</t>
  </si>
  <si>
    <t xml:space="preserve">ORD-2024-00043</t>
  </si>
  <si>
    <t xml:space="preserve">ORD-2024-00404</t>
  </si>
  <si>
    <t xml:space="preserve">ORD-2024-00096</t>
  </si>
  <si>
    <t xml:space="preserve">ORD-2024-00314</t>
  </si>
  <si>
    <t xml:space="preserve">ORD-2024-00407</t>
  </si>
  <si>
    <t xml:space="preserve">ORD-2024-00466</t>
  </si>
  <si>
    <t xml:space="preserve">ORD-2024-00071</t>
  </si>
  <si>
    <t xml:space="preserve">ORD-2024-00380</t>
  </si>
  <si>
    <t xml:space="preserve">ORD-2024-00225</t>
  </si>
  <si>
    <t xml:space="preserve">ORD-2024-00249</t>
  </si>
  <si>
    <t xml:space="preserve">ORD-2024-00278</t>
  </si>
  <si>
    <t xml:space="preserve">ORD-2024-00070</t>
  </si>
  <si>
    <t xml:space="preserve">ORD-2024-00177</t>
  </si>
  <si>
    <t xml:space="preserve">ORD-2024-00292</t>
  </si>
  <si>
    <t xml:space="preserve">ORD-2025-00018</t>
  </si>
  <si>
    <t xml:space="preserve">ORD-2025-00272</t>
  </si>
  <si>
    <t xml:space="preserve">ORD-2025-00113</t>
  </si>
  <si>
    <t xml:space="preserve">ORD-2025-00190</t>
  </si>
  <si>
    <t xml:space="preserve">ORD-2025-00246</t>
  </si>
  <si>
    <t xml:space="preserve">ORD-2025-00104</t>
  </si>
  <si>
    <t xml:space="preserve">ORD-2025-00149</t>
  </si>
  <si>
    <t xml:space="preserve">ORD-2025-00363</t>
  </si>
  <si>
    <t xml:space="preserve">ORD-2025-00030</t>
  </si>
  <si>
    <t xml:space="preserve">ORD-2025-00383</t>
  </si>
  <si>
    <t xml:space="preserve">ORD-2025-00413</t>
  </si>
  <si>
    <t xml:space="preserve">ORD-2025-00105</t>
  </si>
  <si>
    <t xml:space="preserve">ORD-2025-00235</t>
  </si>
  <si>
    <t xml:space="preserve">ORD-2025-00427</t>
  </si>
  <si>
    <t xml:space="preserve">ORD-2025-00575</t>
  </si>
  <si>
    <t xml:space="preserve">ORD-2025-00408</t>
  </si>
  <si>
    <t xml:space="preserve">ORD-2025-00377</t>
  </si>
  <si>
    <t xml:space="preserve">ORD-2025-00523</t>
  </si>
  <si>
    <t xml:space="preserve">ORD-2025-00117</t>
  </si>
  <si>
    <t xml:space="preserve">ORD-2025-00473</t>
  </si>
  <si>
    <t xml:space="preserve">ORD-2025-00052</t>
  </si>
  <si>
    <t xml:space="preserve">ORD-2025-00106</t>
  </si>
  <si>
    <t xml:space="preserve">ORD-2025-00122</t>
  </si>
  <si>
    <t xml:space="preserve">ORD-2025-00075</t>
  </si>
  <si>
    <t xml:space="preserve">ORD-2025-00392</t>
  </si>
  <si>
    <t xml:space="preserve">ORD-2025-00374</t>
  </si>
  <si>
    <t xml:space="preserve">ORD-2025-00418</t>
  </si>
  <si>
    <t xml:space="preserve">ORD-2025-00491</t>
  </si>
  <si>
    <t xml:space="preserve">ORD-2025-00198</t>
  </si>
  <si>
    <t xml:space="preserve">ORD-2025-00341</t>
  </si>
  <si>
    <t xml:space="preserve">ORD-2025-00345</t>
  </si>
  <si>
    <t xml:space="preserve">ORD-2025-00524</t>
  </si>
  <si>
    <t xml:space="preserve">ORD-2025-00164</t>
  </si>
  <si>
    <t xml:space="preserve">ORD-2025-00004</t>
  </si>
  <si>
    <t xml:space="preserve">ORD-2025-00081</t>
  </si>
  <si>
    <t xml:space="preserve">ORD-2025-00297</t>
  </si>
  <si>
    <t xml:space="preserve">ORD-2025-00521</t>
  </si>
  <si>
    <t xml:space="preserve">ORD-2025-00195</t>
  </si>
  <si>
    <t xml:space="preserve">ORD-2025-00329</t>
  </si>
  <si>
    <t xml:space="preserve">ORD-2025-00067</t>
  </si>
  <si>
    <t xml:space="preserve">ORD-2025-00516</t>
  </si>
  <si>
    <t xml:space="preserve">ORD-2025-00338</t>
  </si>
  <si>
    <t xml:space="preserve">ORD-2025-00087</t>
  </si>
  <si>
    <t xml:space="preserve">ORD-2025-00584</t>
  </si>
  <si>
    <t xml:space="preserve">ORD-2025-00557</t>
  </si>
  <si>
    <t xml:space="preserve">ORD-2025-00582</t>
  </si>
  <si>
    <t xml:space="preserve">ORD-2025-00230</t>
  </si>
  <si>
    <t xml:space="preserve">ORD-2025-00494</t>
  </si>
  <si>
    <t xml:space="preserve">ORD-2025-00250</t>
  </si>
  <si>
    <t xml:space="preserve">ORD-2025-00307</t>
  </si>
  <si>
    <t xml:space="preserve">ORD-2025-00078</t>
  </si>
  <si>
    <t xml:space="preserve">ORD-2025-00501</t>
  </si>
  <si>
    <t xml:space="preserve">ORD-2025-00308</t>
  </si>
  <si>
    <t xml:space="preserve">ORD-2025-00519</t>
  </si>
  <si>
    <t xml:space="preserve">ORD-2025-00088</t>
  </si>
  <si>
    <t xml:space="preserve">ORD-2025-00245</t>
  </si>
  <si>
    <t xml:space="preserve">ORD-2025-00359</t>
  </si>
  <si>
    <t xml:space="preserve">ORD-2025-00528</t>
  </si>
  <si>
    <t xml:space="preserve">ORD-2025-00068</t>
  </si>
  <si>
    <t xml:space="preserve">ORD-2025-00470</t>
  </si>
  <si>
    <t xml:space="preserve">ORD-2025-00587</t>
  </si>
  <si>
    <t xml:space="preserve">ORD-2025-00324</t>
  </si>
  <si>
    <t xml:space="preserve">ORD-2025-00420</t>
  </si>
  <si>
    <t xml:space="preserve">ORD-2025-00133</t>
  </si>
  <si>
    <t xml:space="preserve">ORD-2025-00258</t>
  </si>
  <si>
    <t xml:space="preserve">ORD-2025-00518</t>
  </si>
  <si>
    <t xml:space="preserve">ORD-2025-00128</t>
  </si>
  <si>
    <t xml:space="preserve">ORD-2025-00527</t>
  </si>
  <si>
    <t xml:space="preserve">ORD-2025-00456</t>
  </si>
  <si>
    <t xml:space="preserve">ORD-2025-00492</t>
  </si>
  <si>
    <t xml:space="preserve">ORD-2025-00011</t>
  </si>
  <si>
    <t xml:space="preserve">ORD-2025-00267</t>
  </si>
  <si>
    <t xml:space="preserve">ORD-2025-00275</t>
  </si>
  <si>
    <t xml:space="preserve">ORD-2025-00036</t>
  </si>
  <si>
    <t xml:space="preserve">ORD-2025-00443</t>
  </si>
  <si>
    <t xml:space="preserve">ORD-2025-00390</t>
  </si>
  <si>
    <t xml:space="preserve">ORD-2025-00108</t>
  </si>
  <si>
    <t xml:space="preserve">ORD-2025-00037</t>
  </si>
  <si>
    <t xml:space="preserve">ORD-2025-00277</t>
  </si>
  <si>
    <t xml:space="preserve">ORD-2025-00490</t>
  </si>
  <si>
    <t xml:space="preserve">ORD-2025-00082</t>
  </si>
  <si>
    <t xml:space="preserve">ORD-2025-00156</t>
  </si>
  <si>
    <t xml:space="preserve">ORD-2025-00357</t>
  </si>
  <si>
    <t xml:space="preserve">ORD-2025-00053</t>
  </si>
  <si>
    <t xml:space="preserve">ORD-2025-00255</t>
  </si>
  <si>
    <t xml:space="preserve">ORD-2025-00349</t>
  </si>
  <si>
    <t xml:space="preserve">ORD-2025-00065</t>
  </si>
  <si>
    <t xml:space="preserve">ORD-2025-00169</t>
  </si>
  <si>
    <t xml:space="preserve">ORD-2025-00291</t>
  </si>
  <si>
    <t xml:space="preserve">ORD-2025-00026</t>
  </si>
  <si>
    <t xml:space="preserve">ORD-2025-00549</t>
  </si>
  <si>
    <t xml:space="preserve">ORD-2025-00566</t>
  </si>
  <si>
    <t xml:space="preserve">ORD-2025-00330</t>
  </si>
  <si>
    <t xml:space="preserve">ORD-2025-00366</t>
  </si>
  <si>
    <t xml:space="preserve">ORD-2025-00045</t>
  </si>
  <si>
    <t xml:space="preserve">ORD-2025-00590</t>
  </si>
  <si>
    <t xml:space="preserve">ORD-2025-00216</t>
  </si>
  <si>
    <t xml:space="preserve">ORD-2025-00227</t>
  </si>
  <si>
    <t xml:space="preserve">ORD-2025-00480</t>
  </si>
  <si>
    <t xml:space="preserve">ORD-2025-00023</t>
  </si>
  <si>
    <t xml:space="preserve">ORD-2025-00371</t>
  </si>
  <si>
    <t xml:space="preserve">ORD-2025-00398</t>
  </si>
  <si>
    <t xml:space="preserve">ORD-2025-00414</t>
  </si>
  <si>
    <t xml:space="preserve">ORD-2025-00017</t>
  </si>
  <si>
    <t xml:space="preserve">ORD-2025-00183</t>
  </si>
  <si>
    <t xml:space="preserve">ORD-2025-00215</t>
  </si>
  <si>
    <t xml:space="preserve">ORD-2025-00295</t>
  </si>
  <si>
    <t xml:space="preserve">ORD-2025-00316</t>
  </si>
  <si>
    <t xml:space="preserve">ORD-2025-00047</t>
  </si>
  <si>
    <t xml:space="preserve">ORD-2025-00085</t>
  </si>
  <si>
    <t xml:space="preserve">ORD-2025-00386</t>
  </si>
  <si>
    <t xml:space="preserve">ORD-2025-00288</t>
  </si>
  <si>
    <t xml:space="preserve">ORD-2025-00435</t>
  </si>
  <si>
    <t xml:space="preserve">ORD-2025-00498</t>
  </si>
  <si>
    <t xml:space="preserve">ORD-2025-00112</t>
  </si>
  <si>
    <t xml:space="preserve">ORD-2025-00103</t>
  </si>
  <si>
    <t xml:space="preserve">ORD-2025-00172</t>
  </si>
  <si>
    <t xml:space="preserve">ORD-2025-00109</t>
  </si>
  <si>
    <t xml:space="preserve">ORD-2025-00497</t>
  </si>
  <si>
    <t xml:space="preserve">ORD-2025-00019</t>
  </si>
  <si>
    <t xml:space="preserve">ORD-2025-00365</t>
  </si>
  <si>
    <t xml:space="preserve">ORD-2025-00449</t>
  </si>
  <si>
    <t xml:space="preserve">ORD-2025-00115</t>
  </si>
  <si>
    <t xml:space="preserve">ORD-2025-00305</t>
  </si>
  <si>
    <t xml:space="preserve">ORD-2025-00514</t>
  </si>
  <si>
    <t xml:space="preserve">ORD-2025-00517</t>
  </si>
  <si>
    <t xml:space="preserve">ORD-2025-00050</t>
  </si>
  <si>
    <t xml:space="preserve">ORD-2025-00165</t>
  </si>
  <si>
    <t xml:space="preserve">ORD-2025-00323</t>
  </si>
  <si>
    <t xml:space="preserve">ORD-2025-00553</t>
  </si>
  <si>
    <t xml:space="preserve">ORD-2025-00038</t>
  </si>
  <si>
    <t xml:space="preserve">ORD-2025-00403</t>
  </si>
  <si>
    <t xml:space="preserve">ORD-2025-00432</t>
  </si>
  <si>
    <t xml:space="preserve">ORD-2025-00438</t>
  </si>
  <si>
    <t xml:space="preserve">ORD-2025-00447</t>
  </si>
  <si>
    <t xml:space="preserve">ORD-2025-00096</t>
  </si>
  <si>
    <t xml:space="preserve">ORD-2025-00099</t>
  </si>
  <si>
    <t xml:space="preserve">ORD-2025-00340</t>
  </si>
  <si>
    <t xml:space="preserve">ORD-2025-00024</t>
  </si>
  <si>
    <t xml:space="preserve">ORD-2025-00236</t>
  </si>
  <si>
    <t xml:space="preserve">ORD-2025-00256</t>
  </si>
  <si>
    <t xml:space="preserve">ORD-2025-00060</t>
  </si>
  <si>
    <t xml:space="preserve">ORD-2025-00331</t>
  </si>
  <si>
    <t xml:space="preserve">ORD-2025-00464</t>
  </si>
  <si>
    <t xml:space="preserve">ORD-2025-00197</t>
  </si>
  <si>
    <t xml:space="preserve">ORD-2025-00200</t>
  </si>
  <si>
    <t xml:space="preserve">ORD-2025-00483</t>
  </si>
  <si>
    <t xml:space="preserve">ORD-2025-00157</t>
  </si>
  <si>
    <t xml:space="preserve">ORD-2025-00031</t>
  </si>
  <si>
    <t xml:space="preserve">ORD-2025-00573</t>
  </si>
  <si>
    <t xml:space="preserve">ORD-2025-00384</t>
  </si>
  <si>
    <t xml:space="preserve">ORD-2025-00459</t>
  </si>
  <si>
    <t xml:space="preserve">ORD-2025-00551</t>
  </si>
  <si>
    <t xml:space="preserve">ORD-2025-00534</t>
  </si>
  <si>
    <t xml:space="preserve">ORD-2025-00548</t>
  </si>
  <si>
    <t xml:space="preserve">ORD-2025-00148</t>
  </si>
  <si>
    <t xml:space="preserve">ORD-2025-00300</t>
  </si>
  <si>
    <t xml:space="preserve">ORD-2025-00354</t>
  </si>
  <si>
    <t xml:space="preserve">ORD-2025-00537</t>
  </si>
  <si>
    <t xml:space="preserve">ORD-2025-00091</t>
  </si>
  <si>
    <t xml:space="preserve">ORD-2025-00111</t>
  </si>
  <si>
    <t xml:space="preserve">ORD-2025-00141</t>
  </si>
  <si>
    <t xml:space="preserve">ORD-2025-00239</t>
  </si>
  <si>
    <t xml:space="preserve">ORD-2025-00042</t>
  </si>
  <si>
    <t xml:space="preserve">ORD-2025-00140</t>
  </si>
  <si>
    <t xml:space="preserve">ORD-2025-00228</t>
  </si>
  <si>
    <t xml:space="preserve">ORD-2025-00249</t>
  </si>
  <si>
    <t xml:space="preserve">ORD-2025-00558</t>
  </si>
  <si>
    <t xml:space="preserve">ORD-2025-00346</t>
  </si>
  <si>
    <t xml:space="preserve">ORD-2025-00107</t>
  </si>
  <si>
    <t xml:space="preserve">ORD-2025-00136</t>
  </si>
  <si>
    <t xml:space="preserve">ORD-2025-00181</t>
  </si>
  <si>
    <t xml:space="preserve">ORD-2025-00440</t>
  </si>
  <si>
    <t xml:space="preserve">ORD-2025-00576</t>
  </si>
  <si>
    <t xml:space="preserve">ORD-2025-00055</t>
  </si>
  <si>
    <t xml:space="preserve">ORD-2025-00243</t>
  </si>
  <si>
    <t xml:space="preserve">ORD-2025-00436</t>
  </si>
  <si>
    <t xml:space="preserve">ORD-2025-00539</t>
  </si>
  <si>
    <t xml:space="preserve">ORD-2025-00547</t>
  </si>
  <si>
    <t xml:space="preserve">ORD-2025-00092</t>
  </si>
  <si>
    <t xml:space="preserve">ORD-2025-00238</t>
  </si>
  <si>
    <t xml:space="preserve">ORD-2025-00540</t>
  </si>
  <si>
    <t xml:space="preserve">ORD-2025-00124</t>
  </si>
  <si>
    <t xml:space="preserve">ORD-2025-00348</t>
  </si>
  <si>
    <t xml:space="preserve">ORD-2025-00485</t>
  </si>
  <si>
    <t xml:space="preserve">ORD-2025-00186</t>
  </si>
  <si>
    <t xml:space="preserve">ORD-2025-00364</t>
  </si>
  <si>
    <t xml:space="preserve">ORD-2025-00405</t>
  </si>
  <si>
    <t xml:space="preserve">ORD-2025-00442</t>
  </si>
  <si>
    <t xml:space="preserve">ORD-2025-00077</t>
  </si>
  <si>
    <t xml:space="preserve">ORD-2025-00114</t>
  </si>
  <si>
    <t xml:space="preserve">ORD-2025-00150</t>
  </si>
  <si>
    <t xml:space="preserve">ORD-2025-00402</t>
  </si>
  <si>
    <t xml:space="preserve">ORD-2025-00205</t>
  </si>
  <si>
    <t xml:space="preserve">ORD-2025-00309</t>
  </si>
  <si>
    <t xml:space="preserve">ORD-2025-00225</t>
  </si>
  <si>
    <t xml:space="preserve">ORD-2025-00233</t>
  </si>
  <si>
    <t xml:space="preserve">ORD-2025-00204</t>
  </si>
  <si>
    <t xml:space="preserve">ORD-2025-00074</t>
  </si>
  <si>
    <t xml:space="preserve">ORD-2025-00163</t>
  </si>
  <si>
    <t xml:space="preserve">ORD-2025-00488</t>
  </si>
  <si>
    <t xml:space="preserve">ORD-2025-00248</t>
  </si>
  <si>
    <t xml:space="preserve">ORD-2025-00057</t>
  </si>
  <si>
    <t xml:space="preserve">ORD-2025-00089</t>
  </si>
  <si>
    <t xml:space="preserve">ORD-2025-00326</t>
  </si>
  <si>
    <t xml:space="preserve">ORD-2025-00207</t>
  </si>
  <si>
    <t xml:space="preserve">ORD-2025-00535</t>
  </si>
  <si>
    <t xml:space="preserve">ORD-2025-00162</t>
  </si>
  <si>
    <t xml:space="preserve">ORD-2025-00095</t>
  </si>
  <si>
    <t xml:space="preserve">ORD-2025-00167</t>
  </si>
  <si>
    <t xml:space="preserve">ORD-2025-00301</t>
  </si>
  <si>
    <t xml:space="preserve">ORD-2025-00399</t>
  </si>
  <si>
    <t xml:space="preserve">ORD-2025-00251</t>
  </si>
  <si>
    <t xml:space="preserve">ORD-2025-00471</t>
  </si>
  <si>
    <t xml:space="preserve">ORD-2025-00016</t>
  </si>
  <si>
    <t xml:space="preserve">ORD-2025-00262</t>
  </si>
  <si>
    <t xml:space="preserve">ORD-2025-00397</t>
  </si>
  <si>
    <t xml:space="preserve">ORD-2025-00032</t>
  </si>
  <si>
    <t xml:space="preserve">ORD-2025-00158</t>
  </si>
  <si>
    <t xml:space="preserve">ORD-2025-00314</t>
  </si>
  <si>
    <t xml:space="preserve">ORD-2025-00460</t>
  </si>
  <si>
    <t xml:space="preserve">ORD-2025-00299</t>
  </si>
  <si>
    <t xml:space="preserve">ORD-2025-00545</t>
  </si>
  <si>
    <t xml:space="preserve">ORD-2025-00062</t>
  </si>
  <si>
    <t xml:space="preserve">ORD-2025-00253</t>
  </si>
  <si>
    <t xml:space="preserve">ORD-2025-00356</t>
  </si>
  <si>
    <t xml:space="preserve">ORD-2025-00525</t>
  </si>
  <si>
    <t xml:space="preserve">ORD-2025-00580</t>
  </si>
  <si>
    <t xml:space="preserve">ORD-2025-00378</t>
  </si>
  <si>
    <t xml:space="preserve">ORD-2025-00046</t>
  </si>
  <si>
    <t xml:space="preserve">ORD-2025-00472</t>
  </si>
  <si>
    <t xml:space="preserve">ORD-2025-00532</t>
  </si>
  <si>
    <t xml:space="preserve">ORD-2025-00035</t>
  </si>
  <si>
    <t xml:space="preserve">ORD-2025-00339</t>
  </si>
  <si>
    <t xml:space="preserve">ORD-2025-00006</t>
  </si>
  <si>
    <t xml:space="preserve">ORD-2025-00327</t>
  </si>
  <si>
    <t xml:space="preserve">ORD-2025-00484</t>
  </si>
  <si>
    <t xml:space="preserve">ORD-2025-00554</t>
  </si>
  <si>
    <t xml:space="preserve">ORD-2025-00132</t>
  </si>
  <si>
    <t xml:space="preserve">ORD-2025-00242</t>
  </si>
  <si>
    <t xml:space="preserve">ORD-2025-00206</t>
  </si>
  <si>
    <t xml:space="preserve">ORD-2025-00263</t>
  </si>
  <si>
    <t xml:space="preserve">ORD-2025-00302</t>
  </si>
  <si>
    <t xml:space="preserve">ORD-2025-00194</t>
  </si>
  <si>
    <t xml:space="preserve">ORD-2025-00123</t>
  </si>
  <si>
    <t xml:space="preserve">ORD-2025-00313</t>
  </si>
  <si>
    <t xml:space="preserve">ORD-2025-00522</t>
  </si>
  <si>
    <t xml:space="preserve">ORD-2025-00008</t>
  </si>
  <si>
    <t xml:space="preserve">ORD-2025-00213</t>
  </si>
  <si>
    <t xml:space="preserve">ORD-2025-00013</t>
  </si>
  <si>
    <t xml:space="preserve">ORD-2025-00552</t>
  </si>
  <si>
    <t xml:space="preserve">ORD-2025-00530</t>
  </si>
  <si>
    <t xml:space="preserve">ORD-2025-00094</t>
  </si>
  <si>
    <t xml:space="preserve">ORD-2025-00370</t>
  </si>
  <si>
    <t xml:space="preserve">ORD-2025-00220</t>
  </si>
  <si>
    <t xml:space="preserve">ORD-2025-00586</t>
  </si>
  <si>
    <t xml:space="preserve">ORD-2025-00261</t>
  </si>
  <si>
    <t xml:space="preserve">ORD-2025-00511</t>
  </si>
  <si>
    <t xml:space="preserve">ORD-2025-00321</t>
  </si>
  <si>
    <t xml:space="preserve">ORD-2025-00439</t>
  </si>
  <si>
    <t xml:space="preserve">ORD-2025-00119</t>
  </si>
  <si>
    <t xml:space="preserve">ORD-2025-00367</t>
  </si>
  <si>
    <t xml:space="preserve">ORD-2025-00059</t>
  </si>
  <si>
    <t xml:space="preserve">ORD-2025-00448</t>
  </si>
  <si>
    <t xml:space="preserve">ORD-2025-00591</t>
  </si>
  <si>
    <t xml:space="preserve">ORD-2025-00226</t>
  </si>
  <si>
    <t xml:space="preserve">ORD-2025-00044</t>
  </si>
  <si>
    <t xml:space="preserve">ORD-2025-00127</t>
  </si>
  <si>
    <t xml:space="preserve">ORD-2025-00264</t>
  </si>
  <si>
    <t xml:space="preserve">ORD-2025-00121</t>
  </si>
  <si>
    <t xml:space="preserve">ORD-2025-00274</t>
  </si>
  <si>
    <t xml:space="preserve">ORD-2025-00174</t>
  </si>
  <si>
    <t xml:space="preserve">ORD-2025-00184</t>
  </si>
  <si>
    <t xml:space="preserve">ORD-2025-00411</t>
  </si>
  <si>
    <t xml:space="preserve">ORD-2025-00417</t>
  </si>
  <si>
    <t xml:space="preserve">ORD-2025-00583</t>
  </si>
  <si>
    <t xml:space="preserve">ORD-2025-00563</t>
  </si>
  <si>
    <t xml:space="preserve">ORD-2025-00260</t>
  </si>
  <si>
    <t xml:space="preserve">ORD-2025-00372</t>
  </si>
  <si>
    <t xml:space="preserve">ORD-2025-00555</t>
  </si>
  <si>
    <t xml:space="preserve">ORD-2025-00526</t>
  </si>
  <si>
    <t xml:space="preserve">ORD-2025-00358</t>
  </si>
  <si>
    <t xml:space="preserve">ORD-2025-00468</t>
  </si>
  <si>
    <t xml:space="preserve">ORD-2025-00375</t>
  </si>
  <si>
    <t xml:space="preserve">ORD-2025-00564</t>
  </si>
  <si>
    <t xml:space="preserve">ORD-2025-00143</t>
  </si>
  <si>
    <t xml:space="preserve">ORD-2025-00478</t>
  </si>
  <si>
    <t xml:space="preserve">ORD-2025-00542</t>
  </si>
  <si>
    <t xml:space="preserve">ORD-2025-00178</t>
  </si>
  <si>
    <t xml:space="preserve">ORD-2025-00416</t>
  </si>
  <si>
    <t xml:space="preserve">ORD-2025-00196</t>
  </si>
  <si>
    <t xml:space="preserve">ORD-2025-00027</t>
  </si>
  <si>
    <t xml:space="preserve">ORD-2025-00131</t>
  </si>
  <si>
    <t xml:space="preserve">ORD-2025-00160</t>
  </si>
  <si>
    <t xml:space="preserve">ORD-2025-00265</t>
  </si>
  <si>
    <t xml:space="preserve">ORD-2025-00304</t>
  </si>
  <si>
    <t xml:space="preserve">ORD-2025-00376</t>
  </si>
  <si>
    <t xml:space="preserve">ORD-2025-00379</t>
  </si>
  <si>
    <t xml:space="preserve">ORD-2025-00080</t>
  </si>
  <si>
    <t xml:space="preserve">ORD-2025-00282</t>
  </si>
  <si>
    <t xml:space="preserve">ORD-2025-00504</t>
  </si>
  <si>
    <t xml:space="preserve">ORD-2025-00444</t>
  </si>
  <si>
    <t xml:space="preserve">ORD-2025-00014</t>
  </si>
  <si>
    <t xml:space="preserve">ORD-2025-00144</t>
  </si>
  <si>
    <t xml:space="preserve">ORD-2025-00312</t>
  </si>
  <si>
    <t xml:space="preserve">ORD-2025-00469</t>
  </si>
  <si>
    <t xml:space="preserve">ORD-2025-00382</t>
  </si>
  <si>
    <t xml:space="preserve">ORD-2025-00588</t>
  </si>
  <si>
    <t xml:space="preserve">ORD-2025-00079</t>
  </si>
  <si>
    <t xml:space="preserve">ORD-2025-00209</t>
  </si>
  <si>
    <t xml:space="preserve">ORD-2025-00259</t>
  </si>
  <si>
    <t xml:space="preserve">ORD-2025-00116</t>
  </si>
  <si>
    <t xml:space="preserve">ORD-2025-00185</t>
  </si>
  <si>
    <t xml:space="preserve">ORD-2025-00229</t>
  </si>
  <si>
    <t xml:space="preserve">ORD-2025-00437</t>
  </si>
  <si>
    <t xml:space="preserve">ORD-2025-00499</t>
  </si>
  <si>
    <t xml:space="preserve">ORD-2025-00266</t>
  </si>
  <si>
    <t xml:space="preserve">ORD-2025-00394</t>
  </si>
  <si>
    <t xml:space="preserve">ORD-2025-00025</t>
  </si>
  <si>
    <t xml:space="preserve">ORD-2025-00380</t>
  </si>
  <si>
    <t xml:space="preserve">ORD-2025-00431</t>
  </si>
  <si>
    <t xml:space="preserve">ORD-2025-00536</t>
  </si>
  <si>
    <t xml:space="preserve">ORD-2025-00579</t>
  </si>
  <si>
    <t xml:space="preserve">ORD-2025-00396</t>
  </si>
  <si>
    <t xml:space="preserve">ORD-2025-00173</t>
  </si>
  <si>
    <t xml:space="preserve">ORD-2025-00212</t>
  </si>
  <si>
    <t xml:space="preserve">ORD-2025-00147</t>
  </si>
  <si>
    <t xml:space="preserve">ORD-2025-00166</t>
  </si>
  <si>
    <t xml:space="preserve">ORD-2025-00531</t>
  </si>
  <si>
    <t xml:space="preserve">ORD-2025-00171</t>
  </si>
  <si>
    <t xml:space="preserve">ORD-2025-00015</t>
  </si>
  <si>
    <t xml:space="preserve">ORD-2025-00020</t>
  </si>
  <si>
    <t xml:space="preserve">ORD-2025-00012</t>
  </si>
  <si>
    <t xml:space="preserve">ORD-2025-00457</t>
  </si>
  <si>
    <t xml:space="preserve">ORD-2025-00129</t>
  </si>
  <si>
    <t xml:space="preserve">ORD-2025-00222</t>
  </si>
  <si>
    <t xml:space="preserve">ORD-2025-00333</t>
  </si>
  <si>
    <t xml:space="preserve">ORD-2025-00507</t>
  </si>
  <si>
    <t xml:space="preserve">ORD-2025-00269</t>
  </si>
  <si>
    <t xml:space="preserve">ORD-2025-00048</t>
  </si>
  <si>
    <t xml:space="preserve">ORD-2025-00076</t>
  </si>
  <si>
    <t xml:space="preserve">ORD-2025-00335</t>
  </si>
  <si>
    <t xml:space="preserve">ORD-2025-00550</t>
  </si>
  <si>
    <t xml:space="preserve">ORD-2025-00571</t>
  </si>
  <si>
    <t xml:space="preserve">ORD-2025-00234</t>
  </si>
  <si>
    <t xml:space="preserve">ORD-2025-00342</t>
  </si>
  <si>
    <t xml:space="preserve">ORD-2025-00244</t>
  </si>
  <si>
    <t xml:space="preserve">ORD-2025-00489</t>
  </si>
  <si>
    <t xml:space="preserve">ORD-2025-00567</t>
  </si>
  <si>
    <t xml:space="preserve">ORD-2025-00422</t>
  </si>
  <si>
    <t xml:space="preserve">ORD-2025-00425</t>
  </si>
  <si>
    <t xml:space="preserve">ORD-2025-00445</t>
  </si>
  <si>
    <t xml:space="preserve">ORD-2025-00041</t>
  </si>
  <si>
    <t xml:space="preserve">ORD-2025-00332</t>
  </si>
  <si>
    <t xml:space="preserve">ORD-2025-00352</t>
  </si>
  <si>
    <t xml:space="preserve">ORD-2025-00232</t>
  </si>
  <si>
    <t xml:space="preserve">ORD-2025-00073</t>
  </si>
  <si>
    <t xml:space="preserve">ORD-2025-00063</t>
  </si>
  <si>
    <t xml:space="preserve">ORD-2025-00317</t>
  </si>
  <si>
    <t xml:space="preserve">ORD-2025-00385</t>
  </si>
  <si>
    <t xml:space="preserve">ORD-2025-00500</t>
  </si>
  <si>
    <t xml:space="preserve">ORD-2025-00064</t>
  </si>
  <si>
    <t xml:space="preserve">ORD-2025-00155</t>
  </si>
  <si>
    <t xml:space="preserve">ORD-2025-00328</t>
  </si>
  <si>
    <t xml:space="preserve">ORD-2025-00350</t>
  </si>
  <si>
    <t xml:space="preserve">ORD-2025-00192</t>
  </si>
  <si>
    <t xml:space="preserve">ORD-2025-00224</t>
  </si>
  <si>
    <t xml:space="preserve">ORD-2025-00286</t>
  </si>
  <si>
    <t xml:space="preserve">ORD-2025-00495</t>
  </si>
  <si>
    <t xml:space="preserve">ORD-2025-00203</t>
  </si>
  <si>
    <t xml:space="preserve">ORD-2025-00529</t>
  </si>
  <si>
    <t xml:space="preserve">ORD-2025-00034</t>
  </si>
  <si>
    <t xml:space="preserve">ORD-2025-00218</t>
  </si>
  <si>
    <t xml:space="preserve">ORD-2025-00311</t>
  </si>
  <si>
    <t xml:space="preserve">ORD-2025-00093</t>
  </si>
  <si>
    <t xml:space="preserve">ORD-2025-00097</t>
  </si>
  <si>
    <t xml:space="preserve">ORD-2025-00544</t>
  </si>
  <si>
    <t xml:space="preserve">ORD-2025-00118</t>
  </si>
  <si>
    <t xml:space="preserve">ORD-2025-00202</t>
  </si>
  <si>
    <t xml:space="preserve">ORD-2025-00401</t>
  </si>
  <si>
    <t xml:space="preserve">ORD-2025-00069</t>
  </si>
  <si>
    <t xml:space="preserve">ORD-2025-00502</t>
  </si>
  <si>
    <t xml:space="preserve">ORD-2025-00487</t>
  </si>
  <si>
    <t xml:space="preserve">ORD-2025-00278</t>
  </si>
  <si>
    <t xml:space="preserve">ORD-2025-00419</t>
  </si>
  <si>
    <t xml:space="preserve">ORD-2025-00043</t>
  </si>
  <si>
    <t xml:space="preserve">ORD-2025-00559</t>
  </si>
  <si>
    <t xml:space="preserve">ORD-2025-00193</t>
  </si>
  <si>
    <t xml:space="preserve">ORD-2025-00415</t>
  </si>
  <si>
    <t xml:space="preserve">ORD-2025-00170</t>
  </si>
  <si>
    <t xml:space="preserve">ORD-2025-00237</t>
  </si>
  <si>
    <t xml:space="preserve">ORD-2025-00334</t>
  </si>
  <si>
    <t xml:space="preserve">ORD-2025-00426</t>
  </si>
  <si>
    <t xml:space="preserve">ORD-2025-00572</t>
  </si>
  <si>
    <t xml:space="preserve">ORD-2025-00003</t>
  </si>
  <si>
    <t xml:space="preserve">ORD-2025-00458</t>
  </si>
  <si>
    <t xml:space="preserve">ORD-2025-00191</t>
  </si>
  <si>
    <t xml:space="preserve">ORD-2025-00404</t>
  </si>
  <si>
    <t xml:space="preserve">ORD-2025-00577</t>
  </si>
  <si>
    <t xml:space="preserve">ORD-2025-00387</t>
  </si>
  <si>
    <t xml:space="preserve">ORD-2025-00520</t>
  </si>
  <si>
    <t xml:space="preserve">ORD-2025-00145</t>
  </si>
  <si>
    <t xml:space="preserve">ORD-2025-00561</t>
  </si>
  <si>
    <t xml:space="preserve">ORD-2025-00102</t>
  </si>
  <si>
    <t xml:space="preserve">ORD-2025-00287</t>
  </si>
  <si>
    <t xml:space="preserve">ORD-2025-00428</t>
  </si>
  <si>
    <t xml:space="preserve">ORD-2025-00319</t>
  </si>
  <si>
    <t xml:space="preserve">ORD-2025-00409</t>
  </si>
  <si>
    <t xml:space="preserve">ORD-2025-00533</t>
  </si>
  <si>
    <t xml:space="preserve">ORD-2025-00451</t>
  </si>
  <si>
    <t xml:space="preserve">ORD-2025-00578</t>
  </si>
  <si>
    <t xml:space="preserve">ORD-2025-00022</t>
  </si>
  <si>
    <t xml:space="preserve">ORD-2025-00254</t>
  </si>
  <si>
    <t xml:space="preserve">ORD-2025-00138</t>
  </si>
  <si>
    <t xml:space="preserve">ORD-2025-00289</t>
  </si>
  <si>
    <t xml:space="preserve">ORD-2025-00151</t>
  </si>
  <si>
    <t xml:space="preserve">ORD-2025-00273</t>
  </si>
  <si>
    <t xml:space="preserve">ORD-2025-00175</t>
  </si>
  <si>
    <t xml:space="preserve">ORD-2025-00433</t>
  </si>
  <si>
    <t xml:space="preserve">ORD-2025-00481</t>
  </si>
  <si>
    <t xml:space="preserve">ORD-2025-00182</t>
  </si>
  <si>
    <t xml:space="preserve">ORD-2025-00187</t>
  </si>
  <si>
    <t xml:space="preserve">ORD-2025-00463</t>
  </si>
  <si>
    <t xml:space="preserve">ORD-2025-00538</t>
  </si>
  <si>
    <t xml:space="preserve">ORD-2025-00028</t>
  </si>
  <si>
    <t xml:space="preserve">ORD-2025-00134</t>
  </si>
  <si>
    <t xml:space="preserve">ORD-2025-00369</t>
  </si>
  <si>
    <t xml:space="preserve">ORD-2025-00476</t>
  </si>
  <si>
    <t xml:space="preserve">ORD-2025-00421</t>
  </si>
  <si>
    <t xml:space="preserve">ORD-2025-00479</t>
  </si>
  <si>
    <t xml:space="preserve">ORD-2025-00231</t>
  </si>
  <si>
    <t xml:space="preserve">ORD-2025-00467</t>
  </si>
  <si>
    <t xml:space="preserve">ORD-2025-00493</t>
  </si>
  <si>
    <t xml:space="preserve">ORD-2025-00120</t>
  </si>
  <si>
    <t xml:space="preserve">ORD-2025-00325</t>
  </si>
  <si>
    <t xml:space="preserve">ORD-2025-00351</t>
  </si>
  <si>
    <t xml:space="preserve">ORD-2025-00453</t>
  </si>
  <si>
    <t xml:space="preserve">ORD-2025-00152</t>
  </si>
  <si>
    <t xml:space="preserve">ORD-2025-00570</t>
  </si>
  <si>
    <t xml:space="preserve">ORD-2025-00247</t>
  </si>
  <si>
    <t xml:space="preserve">ORD-2025-00562</t>
  </si>
  <si>
    <t xml:space="preserve">ORD-2025-00010</t>
  </si>
  <si>
    <t xml:space="preserve">ORD-2025-00201</t>
  </si>
  <si>
    <t xml:space="preserve">ORD-2025-00355</t>
  </si>
  <si>
    <t xml:space="preserve">ORD-2025-00406</t>
  </si>
  <si>
    <t xml:space="preserve">ORD-2025-00040</t>
  </si>
  <si>
    <t xml:space="preserve">ORD-2025-00423</t>
  </si>
  <si>
    <t xml:space="preserve">ORD-2025-00513</t>
  </si>
  <si>
    <t xml:space="preserve">ORD-2025-00589</t>
  </si>
  <si>
    <t xml:space="preserve">ORD-2025-00130</t>
  </si>
  <si>
    <t xml:space="preserve">ORD-2025-00146</t>
  </si>
  <si>
    <t xml:space="preserve">ORD-2025-00446</t>
  </si>
  <si>
    <t xml:space="preserve">ORD-2025-00343</t>
  </si>
  <si>
    <t xml:space="preserve">ORD-2025-00506</t>
  </si>
  <si>
    <t xml:space="preserve">ORD-2025-00509</t>
  </si>
  <si>
    <t xml:space="preserve">ORD-2025-00268</t>
  </si>
  <si>
    <t xml:space="preserve">ORD-2025-00541</t>
  </si>
  <si>
    <t xml:space="preserve">ORD-2025-00001</t>
  </si>
  <si>
    <t xml:space="preserve">ORD-2025-00217</t>
  </si>
  <si>
    <t xml:space="preserve">ORD-2025-00560</t>
  </si>
  <si>
    <t xml:space="preserve">ORD-2025-00005</t>
  </si>
  <si>
    <t xml:space="preserve">ORD-2025-00007</t>
  </si>
  <si>
    <t xml:space="preserve">ORD-2025-00139</t>
  </si>
  <si>
    <t xml:space="preserve">ORD-2025-00581</t>
  </si>
  <si>
    <t xml:space="preserve">ORD-2025-00135</t>
  </si>
  <si>
    <t xml:space="preserve">ORD-2025-00429</t>
  </si>
  <si>
    <t xml:space="preserve">ORD-2025-00556</t>
  </si>
  <si>
    <t xml:space="preserve">ORD-2025-00090</t>
  </si>
  <si>
    <t xml:space="preserve">ORD-2025-00211</t>
  </si>
  <si>
    <t xml:space="preserve">ORD-2025-00219</t>
  </si>
  <si>
    <t xml:space="preserve">ORD-2025-00283</t>
  </si>
  <si>
    <t xml:space="preserve">ORD-2025-00474</t>
  </si>
  <si>
    <t xml:space="preserve">ORD-2025-00585</t>
  </si>
  <si>
    <t xml:space="preserve">ORD-2025-00058</t>
  </si>
  <si>
    <t xml:space="preserve">ORD-2025-00455</t>
  </si>
  <si>
    <t xml:space="preserve">ORD-2025-00100</t>
  </si>
  <si>
    <t xml:space="preserve">ORD-2025-00002</t>
  </si>
  <si>
    <t xml:space="preserve">ORD-2025-00284</t>
  </si>
  <si>
    <t xml:space="preserve">ORD-2025-00298</t>
  </si>
  <si>
    <t xml:space="preserve">ORD-2025-00430</t>
  </si>
  <si>
    <t xml:space="preserve">ORD-2025-00441</t>
  </si>
  <si>
    <t xml:space="preserve">ORD-2025-00066</t>
  </si>
  <si>
    <t xml:space="preserve">ORD-2025-00292</t>
  </si>
  <si>
    <t xml:space="preserve">ORD-2025-00083</t>
  </si>
  <si>
    <t xml:space="preserve">ORD-2025-00395</t>
  </si>
  <si>
    <t xml:space="preserve">ORD-2025-00424</t>
  </si>
  <si>
    <t xml:space="preserve">ORD-2025-00496</t>
  </si>
  <si>
    <t xml:space="preserve">ORD-2025-00168</t>
  </si>
  <si>
    <t xml:space="preserve">ORD-2025-00410</t>
  </si>
  <si>
    <t xml:space="preserve">ORD-2025-00412</t>
  </si>
  <si>
    <t xml:space="preserve">ORD-2025-00465</t>
  </si>
  <si>
    <t xml:space="preserve">ORD-2025-00153</t>
  </si>
  <si>
    <t xml:space="preserve">ORD-2025-00303</t>
  </si>
  <si>
    <t xml:space="preserve">ORD-2025-00347</t>
  </si>
  <si>
    <t xml:space="preserve">ORD-2025-00353</t>
  </si>
  <si>
    <t xml:space="preserve">ORD-2025-00466</t>
  </si>
  <si>
    <t xml:space="preserve">ORD-2025-00177</t>
  </si>
  <si>
    <t xml:space="preserve">ORD-2025-00257</t>
  </si>
  <si>
    <t xml:space="preserve">ORD-2025-00568</t>
  </si>
  <si>
    <t xml:space="preserve">ORD-2025-00056</t>
  </si>
  <si>
    <t xml:space="preserve">ORD-2025-00296</t>
  </si>
  <si>
    <t xml:space="preserve">ORD-2025-00084</t>
  </si>
  <si>
    <t xml:space="preserve">ORD-2025-00294</t>
  </si>
  <si>
    <t xml:space="preserve">ORD-2025-00199</t>
  </si>
  <si>
    <t xml:space="preserve">ORD-2025-00508</t>
  </si>
  <si>
    <t xml:space="preserve">ORD-2025-00389</t>
  </si>
  <si>
    <t xml:space="preserve">ORD-2025-00569</t>
  </si>
  <si>
    <t xml:space="preserve">ORD-2025-00241</t>
  </si>
  <si>
    <t xml:space="preserve">ORD-2025-00310</t>
  </si>
  <si>
    <t xml:space="preserve">ORD-2025-00271</t>
  </si>
  <si>
    <t xml:space="preserve">ORD-2025-00388</t>
  </si>
  <si>
    <t xml:space="preserve">ORD-2025-00450</t>
  </si>
  <si>
    <t xml:space="preserve">ORD-2025-00161</t>
  </si>
  <si>
    <t xml:space="preserve">ORD-2025-00252</t>
  </si>
  <si>
    <t xml:space="preserve">ORD-2025-00039</t>
  </si>
  <si>
    <t xml:space="preserve">ORD-2025-00208</t>
  </si>
  <si>
    <t xml:space="preserve">ORD-2025-00344</t>
  </si>
  <si>
    <t xml:space="preserve">ORD-2025-00368</t>
  </si>
  <si>
    <t xml:space="preserve">ORD-2025-00021</t>
  </si>
  <si>
    <t xml:space="preserve">ORD-2025-00285</t>
  </si>
  <si>
    <t xml:space="preserve">ORD-2025-00482</t>
  </si>
  <si>
    <t xml:space="preserve">ORD-2025-00051</t>
  </si>
  <si>
    <t xml:space="preserve">ORD-2025-00137</t>
  </si>
  <si>
    <t xml:space="preserve">ORD-2025-00179</t>
  </si>
  <si>
    <t xml:space="preserve">ORD-2025-00214</t>
  </si>
  <si>
    <t xml:space="preserve">ORD-2025-00279</t>
  </si>
  <si>
    <t xml:space="preserve">ORD-2025-00049</t>
  </si>
  <si>
    <t xml:space="preserve">ORD-2025-00320</t>
  </si>
  <si>
    <t xml:space="preserve">ORD-2025-00362</t>
  </si>
  <si>
    <t xml:space="preserve">ORD-2025-00373</t>
  </si>
  <si>
    <t xml:space="preserve">ORD-2025-00477</t>
  </si>
  <si>
    <t xml:space="preserve">ORD-2025-00189</t>
  </si>
  <si>
    <t xml:space="preserve">ORD-2025-00337</t>
  </si>
  <si>
    <t xml:space="preserve">ORD-2025-00461</t>
  </si>
  <si>
    <t xml:space="preserve">ORD-2025-00126</t>
  </si>
  <si>
    <t xml:space="preserve">ORD-2025-00510</t>
  </si>
  <si>
    <t xml:space="preserve">ORD-2025-00454</t>
  </si>
  <si>
    <t xml:space="preserve">ORD-2025-00029</t>
  </si>
  <si>
    <t xml:space="preserve">ORD-2025-00322</t>
  </si>
  <si>
    <t xml:space="preserve">ORD-2025-00142</t>
  </si>
  <si>
    <t xml:space="preserve">ORD-2025-00400</t>
  </si>
  <si>
    <t xml:space="preserve">ORD-2025-00503</t>
  </si>
  <si>
    <t xml:space="preserve">ORD-2025-00033</t>
  </si>
  <si>
    <t xml:space="preserve">ORD-2025-00515</t>
  </si>
  <si>
    <t xml:space="preserve">ORD-2025-00574</t>
  </si>
  <si>
    <t xml:space="preserve">ORD-2025-00070</t>
  </si>
  <si>
    <t xml:space="preserve">ORD-2025-00180</t>
  </si>
  <si>
    <t xml:space="preserve">ORD-2025-00221</t>
  </si>
  <si>
    <t xml:space="preserve">ORD-2025-00361</t>
  </si>
  <si>
    <t xml:space="preserve">ORD-2025-00393</t>
  </si>
  <si>
    <t xml:space="preserve">ORD-2025-00512</t>
  </si>
  <si>
    <t xml:space="preserve">ORD-2025-00125</t>
  </si>
  <si>
    <t xml:space="preserve">ORD-2025-00009</t>
  </si>
  <si>
    <t xml:space="preserve">ORD-2025-00223</t>
  </si>
  <si>
    <t xml:space="preserve">ORD-2025-00543</t>
  </si>
  <si>
    <t xml:space="preserve">ORD-2025-00360</t>
  </si>
  <si>
    <t xml:space="preserve">ORD-2025-00071</t>
  </si>
  <si>
    <t xml:space="preserve">ORD-2025-00240</t>
  </si>
  <si>
    <t xml:space="preserve">ORD-2025-00280</t>
  </si>
  <si>
    <t xml:space="preserve">ORD-2025-00276</t>
  </si>
  <si>
    <t xml:space="preserve">ORD-2025-00176</t>
  </si>
  <si>
    <t xml:space="preserve">ORD-2025-00315</t>
  </si>
  <si>
    <t xml:space="preserve">ORD-2025-00072</t>
  </si>
  <si>
    <t xml:space="preserve">ORD-2025-00101</t>
  </si>
  <si>
    <t xml:space="preserve">ORD-2025-00086</t>
  </si>
  <si>
    <t xml:space="preserve">ORD-2025-00154</t>
  </si>
  <si>
    <t xml:space="preserve">ORD-2025-00290</t>
  </si>
  <si>
    <t xml:space="preserve">ORD-2025-00318</t>
  </si>
  <si>
    <t xml:space="preserve">ORD-2025-00159</t>
  </si>
  <si>
    <t xml:space="preserve">ORD-2025-00434</t>
  </si>
  <si>
    <t xml:space="preserve">ORD-2025-00336</t>
  </si>
  <si>
    <t xml:space="preserve">ORD-2025-00061</t>
  </si>
  <si>
    <t xml:space="preserve">ORD-2025-00098</t>
  </si>
  <si>
    <t xml:space="preserve">ORD-2025-00110</t>
  </si>
  <si>
    <t xml:space="preserve">ORD-2025-00391</t>
  </si>
  <si>
    <t xml:space="preserve">ORD-2025-00054</t>
  </si>
  <si>
    <t xml:space="preserve">ORD-2025-00306</t>
  </si>
  <si>
    <t xml:space="preserve">ORD-2025-00270</t>
  </si>
  <si>
    <t xml:space="preserve">ORD-2025-00462</t>
  </si>
  <si>
    <t xml:space="preserve">ORD-2025-00565</t>
  </si>
  <si>
    <t xml:space="preserve">ORD-2025-00452</t>
  </si>
  <si>
    <t xml:space="preserve">ORD-2025-00210</t>
  </si>
  <si>
    <t xml:space="preserve">ORD-2025-00407</t>
  </si>
  <si>
    <t xml:space="preserve">ORD-2025-00188</t>
  </si>
  <si>
    <t xml:space="preserve">ORD-2025-00281</t>
  </si>
  <si>
    <t xml:space="preserve">ORD-2025-00486</t>
  </si>
  <si>
    <t xml:space="preserve">ORD-2025-00546</t>
  </si>
  <si>
    <t xml:space="preserve">ORD-2025-00293</t>
  </si>
  <si>
    <t xml:space="preserve">ORD-2025-00381</t>
  </si>
  <si>
    <t xml:space="preserve">ORD-2025-00475</t>
  </si>
  <si>
    <t xml:space="preserve">ORD-2025-00505</t>
  </si>
  <si>
    <t xml:space="preserve">DATA DICTIONARY — Sales Data</t>
  </si>
  <si>
    <t xml:space="preserve">Field</t>
  </si>
  <si>
    <t xml:space="preserve">Type</t>
  </si>
  <si>
    <t xml:space="preserve">Description</t>
  </si>
  <si>
    <t xml:space="preserve">Text</t>
  </si>
  <si>
    <t xml:space="preserve">Unique transaction reference, e.g. ORD-2025-00123</t>
  </si>
  <si>
    <t xml:space="preserve">Date</t>
  </si>
  <si>
    <t xml:space="preserve">Date the order was placed (Jan 2024 – Dec 2025). Group this to get Year/Quarter/Month.</t>
  </si>
  <si>
    <t xml:space="preserve">Sales region: Central, Northern, Southern, East Coast, East Malaysia</t>
  </si>
  <si>
    <t xml:space="preserve">Malaysian state of the customer</t>
  </si>
  <si>
    <t xml:space="preserve">City of the customer</t>
  </si>
  <si>
    <t xml:space="preserve">Account owner who closed the deal (10 reps)</t>
  </si>
  <si>
    <t xml:space="preserve">Corporate, SME, Government, Education, Retail</t>
  </si>
  <si>
    <t xml:space="preserve">Electronics, Office Supplies, Furniture, Software</t>
  </si>
  <si>
    <t xml:space="preserve">Finer grouping within a category (e.g. Laptops, Paper, Chairs)</t>
  </si>
  <si>
    <t xml:space="preserve">Specific product sold</t>
  </si>
  <si>
    <t xml:space="preserve">Number</t>
  </si>
  <si>
    <t xml:space="preserve">Selling price per unit before discount</t>
  </si>
  <si>
    <t xml:space="preserve">Units sold in the order</t>
  </si>
  <si>
    <t xml:space="preserve">Percent</t>
  </si>
  <si>
    <t xml:space="preserve">Discount applied to the order (0%–20%)</t>
  </si>
  <si>
    <t xml:space="preserve">Cost to NovaTech per unit</t>
  </si>
  <si>
    <t xml:space="preserve">Formula</t>
  </si>
  <si>
    <t xml:space="preserve">Unit Price x Quantity x (1 - Discount). Net sales value.</t>
  </si>
  <si>
    <t xml:space="preserve">Unit Cost x Quantity</t>
  </si>
  <si>
    <t xml:space="preserve">Revenue - Total Cost</t>
  </si>
  <si>
    <t xml:space="preserve">Bank Transfer, Credit Card, E-Wallet, Cheque, Cash</t>
  </si>
  <si>
    <t xml:space="preserve">Completed, Pending, Returned, Cancelled (use as a Filter / Slicer)</t>
  </si>
  <si>
    <t xml:space="preserve">LEVEL 1 — BEGINNER  (single field summaries, basic value settings)</t>
  </si>
  <si>
    <t xml:space="preserve">#</t>
  </si>
  <si>
    <t xml:space="preserve">Business Question (Case)</t>
  </si>
  <si>
    <t xml:space="preserve">PivotTable Skill Practised</t>
  </si>
  <si>
    <t xml:space="preserve">Fields to Use (Filters / Rows / Columns / Values)</t>
  </si>
  <si>
    <t xml:space="preserve">Expected Output</t>
  </si>
  <si>
    <t xml:space="preserve">What is the total Revenue generated by each Product Category?</t>
  </si>
  <si>
    <t xml:space="preserve">Sum a value by one row field</t>
  </si>
  <si>
    <t xml:space="preserve">Rows: Product Category  |  Values: Sum of Revenue (RM)</t>
  </si>
  <si>
    <t xml:space="preserve">4 categories with total RM revenue each</t>
  </si>
  <si>
    <t xml:space="preserve">How many orders did each Region receive?</t>
  </si>
  <si>
    <t xml:space="preserve">COUNT instead of SUM</t>
  </si>
  <si>
    <t xml:space="preserve">Rows: Region  |  Values: Count of Order ID</t>
  </si>
  <si>
    <t xml:space="preserve">Order count per region (Central highest)</t>
  </si>
  <si>
    <t xml:space="preserve">What is the total Quantity sold by each Salesperson?</t>
  </si>
  <si>
    <t xml:space="preserve">Sum a value, sort largest to smallest</t>
  </si>
  <si>
    <t xml:space="preserve">Rows: Salesperson  |  Values: Sum of Quantity  → Sort descending</t>
  </si>
  <si>
    <t xml:space="preserve">Ranked list of reps by units sold</t>
  </si>
  <si>
    <t xml:space="preserve">What is the average Unit Price within each Sub-Category?</t>
  </si>
  <si>
    <t xml:space="preserve">Change value setting to AVERAGE</t>
  </si>
  <si>
    <t xml:space="preserve">Rows: Sub-Category  |  Values: Average of Unit Price (RM)</t>
  </si>
  <si>
    <t xml:space="preserve">Average price per sub-category</t>
  </si>
  <si>
    <t xml:space="preserve">What is total Profit by Customer Segment?</t>
  </si>
  <si>
    <t xml:space="preserve">Sum + number formatting</t>
  </si>
  <si>
    <t xml:space="preserve">Rows: Customer Segment  |  Values: Sum of Profit (RM)</t>
  </si>
  <si>
    <t xml:space="preserve">Profit by 5 segments</t>
  </si>
  <si>
    <t xml:space="preserve">LEVEL 2 — INTERMEDIATE  (cross-tabs, date grouping, filters/slicers, Top N, % of total)</t>
  </si>
  <si>
    <t xml:space="preserve">Show Revenue by Region (rows) and Product Category (columns).</t>
  </si>
  <si>
    <t xml:space="preserve">Two-dimensional cross-tab</t>
  </si>
  <si>
    <t xml:space="preserve">Rows: Region  |  Columns: Product Category  |  Values: Sum of Revenue</t>
  </si>
  <si>
    <t xml:space="preserve">Matrix region × category</t>
  </si>
  <si>
    <t xml:space="preserve">What is the monthly Revenue trend across 2024–2025?</t>
  </si>
  <si>
    <t xml:space="preserve">Group Order Date by Year &amp; Month</t>
  </si>
  <si>
    <t xml:space="preserve">Rows: Order Date (Right-click → Group → Years + Months)  |  Values: Sum of Revenue</t>
  </si>
  <si>
    <t xml:space="preserve">Month-by-month trend, seasonal peaks</t>
  </si>
  <si>
    <t xml:space="preserve">Compare Revenue by Segment, but only for Completed orders.</t>
  </si>
  <si>
    <t xml:space="preserve">Report Filter / Slicer</t>
  </si>
  <si>
    <t xml:space="preserve">Filter: Order Status = Completed  |  Rows: Customer Segment  |  Values: Sum of Revenue</t>
  </si>
  <si>
    <t xml:space="preserve">Completed-only segment revenue</t>
  </si>
  <si>
    <t xml:space="preserve">Which are the Top 5 Products by Revenue?</t>
  </si>
  <si>
    <t xml:space="preserve">Value (Top 10) filter set to 5</t>
  </si>
  <si>
    <t xml:space="preserve">Rows: Product Name  |  Values: Sum of Revenue  → Value Filters → Top 5</t>
  </si>
  <si>
    <t xml:space="preserve">Five best-selling products</t>
  </si>
  <si>
    <t xml:space="preserve">What % of total Revenue does each Region contribute?</t>
  </si>
  <si>
    <t xml:space="preserve">Show Values As → % of Grand Total</t>
  </si>
  <si>
    <t xml:space="preserve">Rows: Region  |  Values: Sum of Revenue (Show Values As: % of Grand Total)</t>
  </si>
  <si>
    <t xml:space="preserve">Each region's % share</t>
  </si>
  <si>
    <t xml:space="preserve">Revenue by Quarter for each Product Category.</t>
  </si>
  <si>
    <t xml:space="preserve">Group dates to Quarter + cross-tab</t>
  </si>
  <si>
    <t xml:space="preserve">Rows: Product Category  |  Columns: Order Date grouped by Quarters  |  Values: Sum of Revenue</t>
  </si>
  <si>
    <t xml:space="preserve">Category × quarter matrix</t>
  </si>
  <si>
    <t xml:space="preserve">Add a Slicer for Region and a Timeline for Order Date to any PivotTable.</t>
  </si>
  <si>
    <t xml:space="preserve">Slicers &amp; Timeline</t>
  </si>
  <si>
    <t xml:space="preserve">PivotTable Analyze → Insert Slicer (Region) + Insert Timeline (Order Date)</t>
  </si>
  <si>
    <t xml:space="preserve">Interactive filtering controls</t>
  </si>
  <si>
    <t xml:space="preserve">Average Discount % given by each Salesperson.</t>
  </si>
  <si>
    <t xml:space="preserve">Average of a percentage field</t>
  </si>
  <si>
    <t xml:space="preserve">Rows: Salesperson  |  Values: Average of Discount %</t>
  </si>
  <si>
    <t xml:space="preserve">Who discounts the most</t>
  </si>
  <si>
    <t xml:space="preserve">Count of orders by Order Status for each Region.</t>
  </si>
  <si>
    <t xml:space="preserve">Cross-tab with COUNT</t>
  </si>
  <si>
    <t xml:space="preserve">Rows: Region  |  Columns: Order Status  |  Values: Count of Order ID</t>
  </si>
  <si>
    <t xml:space="preserve">Returns/cancellations by region</t>
  </si>
  <si>
    <t xml:space="preserve">LEVEL 3 — ADVANCED  (calculated fields, binning, running totals, variance, GETPIVOTDATA, dashboard)</t>
  </si>
  <si>
    <t xml:space="preserve">Create a Profit Margin % measure (Profit ÷ Revenue) per Category.</t>
  </si>
  <si>
    <t xml:space="preserve">Calculated Field</t>
  </si>
  <si>
    <t xml:space="preserve">PivotTable Analyze → Fields, Items &amp; Sets → Calculated Field: =Profit /Revenue  |  Rows: Product Category</t>
  </si>
  <si>
    <t xml:space="preserve">Margin % per category</t>
  </si>
  <si>
    <t xml:space="preserve">Group Unit Price into bands (e.g. &lt;100, 100–499, 500–999, 1000+).</t>
  </si>
  <si>
    <t xml:space="preserve">Group numeric values into bins</t>
  </si>
  <si>
    <t xml:space="preserve">Rows: Unit Price (Right-click → Group, set interval)  |  Values: Count of Order ID</t>
  </si>
  <si>
    <t xml:space="preserve">Order distribution by price band</t>
  </si>
  <si>
    <t xml:space="preserve">Show a Running Total of Revenue month-by-month.</t>
  </si>
  <si>
    <t xml:space="preserve">Show Values As → Running Total In</t>
  </si>
  <si>
    <t xml:space="preserve">Rows: Order Date (Months)  |  Values: Revenue (Show Values As: Running Total In = Order Date)</t>
  </si>
  <si>
    <t xml:space="preserve">Cumulative revenue curve</t>
  </si>
  <si>
    <t xml:space="preserve">Compare 2025 vs 2024 Revenue per Category and show the difference.</t>
  </si>
  <si>
    <t xml:space="preserve">Show Values As → Difference From</t>
  </si>
  <si>
    <t xml:space="preserve">Rows: Category  |  Columns: Years  |  Values: Revenue + a 2nd Revenue (Difference From → Years → previous)</t>
  </si>
  <si>
    <t xml:space="preserve">YoY change per category</t>
  </si>
  <si>
    <t xml:space="preserve">Rank Salespeople by Revenue using a built-in rank.</t>
  </si>
  <si>
    <t xml:space="preserve">Show Values As → Rank Largest to Smallest</t>
  </si>
  <si>
    <t xml:space="preserve">Rows: Salesperson  |  Values: Revenue (Show Values As: Rank Largest to Smallest)</t>
  </si>
  <si>
    <t xml:space="preserve">Leaderboard 1..10</t>
  </si>
  <si>
    <t xml:space="preserve">Build a 'Profit Contribution' calculated field weighting Revenue minus Cost.</t>
  </si>
  <si>
    <t xml:space="preserve">Calculated Field (multi-input)</t>
  </si>
  <si>
    <t xml:space="preserve">Calculated Field: =Revenue - 'Total Cost'  |  Rows: Region  |  Values: that field</t>
  </si>
  <si>
    <t xml:space="preserve">Region profit contribution</t>
  </si>
  <si>
    <t xml:space="preserve">Average Revenue PER ORDER by Segment (not total).</t>
  </si>
  <si>
    <t xml:space="preserve">Average vs Sum interpretation</t>
  </si>
  <si>
    <t xml:space="preserve">Rows: Customer Segment  |  Values: Average of Revenue (RM)</t>
  </si>
  <si>
    <t xml:space="preserve">Mean order value per segment</t>
  </si>
  <si>
    <t xml:space="preserve">% of Revenue each Sub-Category contributes WITHIN its Category.</t>
  </si>
  <si>
    <t xml:space="preserve">Show Values As → % of Parent Row Total</t>
  </si>
  <si>
    <t xml:space="preserve">Rows: Category then Sub-Category  |  Values: Revenue (% of Parent Row Total)</t>
  </si>
  <si>
    <t xml:space="preserve">Within-category share</t>
  </si>
  <si>
    <t xml:space="preserve">Use GETPIVOTDATA to pull Central region revenue into a summary cell.</t>
  </si>
  <si>
    <t xml:space="preserve">GETPIVOTDATA function</t>
  </si>
  <si>
    <t xml:space="preserve">Type = then click a PivotTable value cell; Excel writes GETPIVOTDATA referencing Region 'Central'</t>
  </si>
  <si>
    <t xml:space="preserve">A live linked summary figure</t>
  </si>
  <si>
    <t xml:space="preserve">Filter to show only Categories whose total Profit exceeds RM 200,000.</t>
  </si>
  <si>
    <t xml:space="preserve">Value Filter (greater than)</t>
  </si>
  <si>
    <t xml:space="preserve">Rows: Category  |  Values: Profit  → Value Filters → Greater Than 200000</t>
  </si>
  <si>
    <t xml:space="preserve">High-profit categories only</t>
  </si>
  <si>
    <t xml:space="preserve">Insert a PivotChart (column) of Revenue by Region with a Segment slicer.</t>
  </si>
  <si>
    <t xml:space="preserve">PivotChart + Slicer dashboard</t>
  </si>
  <si>
    <t xml:space="preserve">PivotTable Analyze → PivotChart (Clustered Column)  + Insert Slicer: Customer Segment</t>
  </si>
  <si>
    <t xml:space="preserve">Interactive chart</t>
  </si>
  <si>
    <t xml:space="preserve">Build a one-page dashboard: KPI tiles + 3 PivotCharts on one sheet.</t>
  </si>
  <si>
    <t xml:space="preserve">Dashboard assembly</t>
  </si>
  <si>
    <t xml:space="preserve">Combine GETPIVOTDATA KPIs (Total Revenue, Profit, Margin) + charts (by Region / Category / Month)</t>
  </si>
  <si>
    <t xml:space="preserve">Executive summary sheet</t>
  </si>
  <si>
    <t xml:space="preserve">Identify the worst-performing month by Profit and flag it.</t>
  </si>
  <si>
    <t xml:space="preserve">Sort grouped dates + conditional formatting</t>
  </si>
  <si>
    <t xml:space="preserve">Rows: Order Date (Months)  |  Values: Profit  → Sort ascending → apply Data Bars</t>
  </si>
  <si>
    <t xml:space="preserve">Lowest-profit month highlighted</t>
  </si>
  <si>
    <t xml:space="preserve">Calculate Discount impact: total list value vs net Revenue by Category.</t>
  </si>
  <si>
    <t xml:space="preserve">Two calculated fields + comparison</t>
  </si>
  <si>
    <t xml:space="preserve">Calc Field GrossList =('Unit Price'*Quantity); compare with Revenue  |  Rows: Category</t>
  </si>
  <si>
    <t xml:space="preserve">Revenue lost to discounting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</si>
</sst>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B3A6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4A700"/>
        <bgColor rgb="FFFFCC00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F2F5FA"/>
      </patternFill>
    </fill>
    <fill>
      <patternFill patternType="solid">
        <fgColor rgb="FFF2F5FA"/>
        <bgColor rgb="FFFFFFFF"/>
      </patternFill>
    </fill>
    <fill>
      <patternFill patternType="solid">
        <fgColor rgb="FFFFFFFF"/>
        <bgColor rgb="FFF2F5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7DE"/>
      </left>
      <right style="thin">
        <color rgb="FFB9C7DE"/>
      </right>
      <top style="thin">
        <color rgb="FFB9C7DE"/>
      </top>
      <bottom style="thin">
        <color rgb="FFB9C7DE"/>
      </bottom>
      <diagonal/>
    </border>
    <border diagonalUp="false" diagonalDown="false">
      <left style="thin">
        <color rgb="FFB9C7DE"/>
      </left>
      <right/>
      <top style="thin">
        <color rgb="FFB9C7DE"/>
      </top>
      <bottom style="thin">
        <color rgb="FFB9C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7DE"/>
      <rgbColor rgb="FF808080"/>
      <rgbColor rgb="FF9999FF"/>
      <rgbColor rgb="FF993366"/>
      <rgbColor rgb="FFF2F5FA"/>
      <rgbColor rgb="FFCCFF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7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45.75" hidden="false" customHeight="true" outlineLevel="0" collapsed="false">
      <c r="A5" s="4" t="s">
        <v>2</v>
      </c>
      <c r="B5" s="4"/>
      <c r="C5" s="5" t="s">
        <v>3</v>
      </c>
      <c r="D5" s="5"/>
      <c r="E5" s="5"/>
      <c r="F5" s="5"/>
      <c r="G5" s="5"/>
      <c r="H5" s="5"/>
    </row>
    <row r="6" customFormat="false" ht="45.75" hidden="false" customHeight="true" outlineLevel="0" collapsed="false">
      <c r="A6" s="4" t="s">
        <v>4</v>
      </c>
      <c r="B6" s="4"/>
      <c r="C6" s="5" t="s">
        <v>5</v>
      </c>
      <c r="D6" s="5"/>
      <c r="E6" s="5"/>
      <c r="F6" s="5"/>
      <c r="G6" s="5"/>
      <c r="H6" s="5"/>
    </row>
    <row r="7" customFormat="false" ht="45.75" hidden="false" customHeight="true" outlineLevel="0" collapsed="false">
      <c r="A7" s="4" t="s">
        <v>6</v>
      </c>
      <c r="B7" s="4"/>
      <c r="C7" s="5" t="s">
        <v>7</v>
      </c>
      <c r="D7" s="5"/>
      <c r="E7" s="5"/>
      <c r="F7" s="5"/>
      <c r="G7" s="5"/>
      <c r="H7" s="5"/>
    </row>
    <row r="8" customFormat="false" ht="45.75" hidden="false" customHeight="true" outlineLevel="0" collapsed="false">
      <c r="A8" s="4" t="s">
        <v>8</v>
      </c>
      <c r="B8" s="4"/>
      <c r="C8" s="5" t="s">
        <v>9</v>
      </c>
      <c r="D8" s="5"/>
      <c r="E8" s="5"/>
      <c r="F8" s="5"/>
      <c r="G8" s="5"/>
      <c r="H8" s="5"/>
    </row>
    <row r="10" customFormat="false" ht="15" hidden="false" customHeight="true" outlineLevel="0" collapsed="false">
      <c r="A10" s="6" t="s">
        <v>10</v>
      </c>
      <c r="B10" s="6"/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A11" s="7" t="s">
        <v>11</v>
      </c>
      <c r="B11" s="7"/>
      <c r="C11" s="8" t="s">
        <v>12</v>
      </c>
      <c r="D11" s="8"/>
      <c r="E11" s="8"/>
      <c r="F11" s="8"/>
      <c r="G11" s="8"/>
      <c r="H11" s="8"/>
    </row>
    <row r="12" customFormat="false" ht="21.75" hidden="false" customHeight="true" outlineLevel="0" collapsed="false">
      <c r="A12" s="7" t="s">
        <v>13</v>
      </c>
      <c r="B12" s="7"/>
      <c r="C12" s="8" t="s">
        <v>14</v>
      </c>
      <c r="D12" s="8"/>
      <c r="E12" s="8"/>
      <c r="F12" s="8"/>
      <c r="G12" s="8"/>
      <c r="H12" s="8"/>
    </row>
    <row r="13" customFormat="false" ht="21.75" hidden="false" customHeight="true" outlineLevel="0" collapsed="false">
      <c r="A13" s="7" t="s">
        <v>15</v>
      </c>
      <c r="B13" s="7"/>
      <c r="C13" s="8" t="s">
        <v>16</v>
      </c>
      <c r="D13" s="8"/>
      <c r="E13" s="8"/>
      <c r="F13" s="8"/>
      <c r="G13" s="8"/>
      <c r="H13" s="8"/>
    </row>
    <row r="15" customFormat="false" ht="15" hidden="false" customHeight="true" outlineLevel="0" collapsed="false">
      <c r="A15" s="9" t="s">
        <v>17</v>
      </c>
      <c r="B15" s="9"/>
      <c r="C15" s="9"/>
      <c r="D15" s="9"/>
      <c r="E15" s="9"/>
      <c r="F15" s="9"/>
      <c r="G15" s="9"/>
      <c r="H15" s="9"/>
    </row>
  </sheetData>
  <mergeCells count="18">
    <mergeCell ref="A1:H2"/>
    <mergeCell ref="A3:H3"/>
    <mergeCell ref="A5:B5"/>
    <mergeCell ref="C5:H5"/>
    <mergeCell ref="A6:B6"/>
    <mergeCell ref="C6:H6"/>
    <mergeCell ref="A7:B7"/>
    <mergeCell ref="C7:H7"/>
    <mergeCell ref="A8:B8"/>
    <mergeCell ref="C8:H8"/>
    <mergeCell ref="A10:H10"/>
    <mergeCell ref="A11:B11"/>
    <mergeCell ref="C11:H11"/>
    <mergeCell ref="A12:B12"/>
    <mergeCell ref="C12:H12"/>
    <mergeCell ref="A13:B13"/>
    <mergeCell ref="C13:H1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3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7" min="6" style="1" width="16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24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6" min="15" style="1" width="14"/>
    <col collapsed="false" customWidth="true" hidden="false" outlineLevel="0" max="17" min="17" style="1" width="13"/>
    <col collapsed="false" customWidth="true" hidden="false" outlineLevel="0" max="18" min="18" style="1" width="15"/>
    <col collapsed="false" customWidth="true" hidden="false" outlineLevel="0" max="19" min="19" style="1" width="13"/>
  </cols>
  <sheetData>
    <row r="1" customFormat="false" ht="39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R1" s="10" t="s">
        <v>35</v>
      </c>
      <c r="S1" s="10" t="s">
        <v>36</v>
      </c>
    </row>
    <row r="2" customFormat="false" ht="15" hidden="false" customHeight="true" outlineLevel="0" collapsed="false">
      <c r="A2" s="11" t="s">
        <v>37</v>
      </c>
      <c r="B2" s="12" t="n">
        <v>45292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45</v>
      </c>
      <c r="K2" s="13" t="n">
        <v>156.97</v>
      </c>
      <c r="L2" s="11" t="n">
        <v>64</v>
      </c>
      <c r="M2" s="14" t="n">
        <v>0</v>
      </c>
      <c r="N2" s="13" t="n">
        <v>47.36</v>
      </c>
      <c r="O2" s="13" t="n">
        <f aca="false">K2*L2*(1-M2)</f>
        <v>10046.08</v>
      </c>
      <c r="P2" s="13" t="n">
        <f aca="false">N2*L2</f>
        <v>3031.04</v>
      </c>
      <c r="Q2" s="13" t="n">
        <f aca="false">O2-P2</f>
        <v>7015.04</v>
      </c>
      <c r="R2" s="11" t="s">
        <v>46</v>
      </c>
      <c r="S2" s="11" t="s">
        <v>47</v>
      </c>
    </row>
    <row r="3" customFormat="false" ht="15" hidden="false" customHeight="true" outlineLevel="0" collapsed="false">
      <c r="A3" s="15" t="s">
        <v>48</v>
      </c>
      <c r="B3" s="16" t="n">
        <v>45292</v>
      </c>
      <c r="C3" s="15" t="s">
        <v>49</v>
      </c>
      <c r="D3" s="15" t="s">
        <v>50</v>
      </c>
      <c r="E3" s="15" t="s">
        <v>50</v>
      </c>
      <c r="F3" s="15" t="s">
        <v>51</v>
      </c>
      <c r="G3" s="15" t="s">
        <v>52</v>
      </c>
      <c r="H3" s="15" t="s">
        <v>53</v>
      </c>
      <c r="I3" s="15" t="s">
        <v>54</v>
      </c>
      <c r="J3" s="15" t="s">
        <v>55</v>
      </c>
      <c r="K3" s="17" t="n">
        <v>27.42</v>
      </c>
      <c r="L3" s="15" t="n">
        <v>105</v>
      </c>
      <c r="M3" s="18" t="n">
        <v>0</v>
      </c>
      <c r="N3" s="17" t="n">
        <v>17.51</v>
      </c>
      <c r="O3" s="17" t="n">
        <f aca="false">K3*L3*(1-M3)</f>
        <v>2879.1</v>
      </c>
      <c r="P3" s="17" t="n">
        <f aca="false">N3*L3</f>
        <v>1838.55</v>
      </c>
      <c r="Q3" s="17" t="n">
        <f aca="false">O3-P3</f>
        <v>1040.55</v>
      </c>
      <c r="R3" s="15" t="s">
        <v>46</v>
      </c>
      <c r="S3" s="15" t="s">
        <v>47</v>
      </c>
    </row>
    <row r="4" customFormat="false" ht="15" hidden="false" customHeight="true" outlineLevel="0" collapsed="false">
      <c r="A4" s="11" t="s">
        <v>56</v>
      </c>
      <c r="B4" s="12" t="n">
        <v>45295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42</v>
      </c>
      <c r="H4" s="11" t="s">
        <v>43</v>
      </c>
      <c r="I4" s="11" t="s">
        <v>61</v>
      </c>
      <c r="J4" s="11" t="s">
        <v>62</v>
      </c>
      <c r="K4" s="13" t="n">
        <v>311.79</v>
      </c>
      <c r="L4" s="11" t="n">
        <v>4</v>
      </c>
      <c r="M4" s="14" t="n">
        <v>0.2</v>
      </c>
      <c r="N4" s="13" t="n">
        <v>124.87</v>
      </c>
      <c r="O4" s="13" t="n">
        <f aca="false">K4*L4*(1-M4)</f>
        <v>997.728</v>
      </c>
      <c r="P4" s="13" t="n">
        <f aca="false">N4*L4</f>
        <v>499.48</v>
      </c>
      <c r="Q4" s="13" t="n">
        <f aca="false">O4-P4</f>
        <v>498.248</v>
      </c>
      <c r="R4" s="11" t="s">
        <v>63</v>
      </c>
      <c r="S4" s="11" t="s">
        <v>47</v>
      </c>
    </row>
    <row r="5" customFormat="false" ht="15" hidden="false" customHeight="true" outlineLevel="0" collapsed="false">
      <c r="A5" s="15" t="s">
        <v>64</v>
      </c>
      <c r="B5" s="16" t="n">
        <v>45296</v>
      </c>
      <c r="C5" s="15" t="s">
        <v>65</v>
      </c>
      <c r="D5" s="15" t="s">
        <v>66</v>
      </c>
      <c r="E5" s="15" t="s">
        <v>67</v>
      </c>
      <c r="F5" s="15" t="s">
        <v>68</v>
      </c>
      <c r="G5" s="15" t="s">
        <v>52</v>
      </c>
      <c r="H5" s="15" t="s">
        <v>53</v>
      </c>
      <c r="I5" s="15" t="s">
        <v>69</v>
      </c>
      <c r="J5" s="15" t="s">
        <v>70</v>
      </c>
      <c r="K5" s="17" t="n">
        <v>22.31</v>
      </c>
      <c r="L5" s="15" t="n">
        <v>39</v>
      </c>
      <c r="M5" s="18" t="n">
        <v>0</v>
      </c>
      <c r="N5" s="17" t="n">
        <v>15.41</v>
      </c>
      <c r="O5" s="17" t="n">
        <f aca="false">K5*L5*(1-M5)</f>
        <v>870.09</v>
      </c>
      <c r="P5" s="17" t="n">
        <f aca="false">N5*L5</f>
        <v>600.99</v>
      </c>
      <c r="Q5" s="17" t="n">
        <f aca="false">O5-P5</f>
        <v>269.1</v>
      </c>
      <c r="R5" s="15" t="s">
        <v>71</v>
      </c>
      <c r="S5" s="15" t="s">
        <v>72</v>
      </c>
    </row>
    <row r="6" customFormat="false" ht="15" hidden="false" customHeight="true" outlineLevel="0" collapsed="false">
      <c r="A6" s="11" t="s">
        <v>73</v>
      </c>
      <c r="B6" s="12" t="n">
        <v>45299</v>
      </c>
      <c r="C6" s="11" t="s">
        <v>74</v>
      </c>
      <c r="D6" s="11" t="s">
        <v>75</v>
      </c>
      <c r="E6" s="11" t="s">
        <v>76</v>
      </c>
      <c r="F6" s="11" t="s">
        <v>41</v>
      </c>
      <c r="G6" s="11" t="s">
        <v>77</v>
      </c>
      <c r="H6" s="11" t="s">
        <v>78</v>
      </c>
      <c r="I6" s="11" t="s">
        <v>79</v>
      </c>
      <c r="J6" s="11" t="s">
        <v>80</v>
      </c>
      <c r="K6" s="13" t="n">
        <v>3281.91</v>
      </c>
      <c r="L6" s="11" t="n">
        <v>12</v>
      </c>
      <c r="M6" s="14" t="n">
        <v>0</v>
      </c>
      <c r="N6" s="13" t="n">
        <v>2823.93</v>
      </c>
      <c r="O6" s="13" t="n">
        <f aca="false">K6*L6*(1-M6)</f>
        <v>39382.92</v>
      </c>
      <c r="P6" s="13" t="n">
        <f aca="false">N6*L6</f>
        <v>33887.16</v>
      </c>
      <c r="Q6" s="13" t="n">
        <f aca="false">O6-P6</f>
        <v>5495.76</v>
      </c>
      <c r="R6" s="11" t="s">
        <v>63</v>
      </c>
      <c r="S6" s="11" t="s">
        <v>47</v>
      </c>
    </row>
    <row r="7" customFormat="false" ht="15" hidden="false" customHeight="true" outlineLevel="0" collapsed="false">
      <c r="A7" s="15" t="s">
        <v>81</v>
      </c>
      <c r="B7" s="16" t="n">
        <v>45301</v>
      </c>
      <c r="C7" s="15" t="s">
        <v>65</v>
      </c>
      <c r="D7" s="15" t="s">
        <v>82</v>
      </c>
      <c r="E7" s="15" t="s">
        <v>83</v>
      </c>
      <c r="F7" s="15" t="s">
        <v>41</v>
      </c>
      <c r="G7" s="15" t="s">
        <v>42</v>
      </c>
      <c r="H7" s="15" t="s">
        <v>84</v>
      </c>
      <c r="I7" s="15" t="s">
        <v>85</v>
      </c>
      <c r="J7" s="15" t="s">
        <v>86</v>
      </c>
      <c r="K7" s="17" t="n">
        <v>597.92</v>
      </c>
      <c r="L7" s="15" t="n">
        <v>5</v>
      </c>
      <c r="M7" s="18" t="n">
        <v>0.15</v>
      </c>
      <c r="N7" s="17" t="n">
        <v>446.53</v>
      </c>
      <c r="O7" s="17" t="n">
        <f aca="false">K7*L7*(1-M7)</f>
        <v>2541.16</v>
      </c>
      <c r="P7" s="17" t="n">
        <f aca="false">N7*L7</f>
        <v>2232.65</v>
      </c>
      <c r="Q7" s="17" t="n">
        <f aca="false">O7-P7</f>
        <v>308.51</v>
      </c>
      <c r="R7" s="15" t="s">
        <v>46</v>
      </c>
      <c r="S7" s="15" t="s">
        <v>47</v>
      </c>
    </row>
    <row r="8" customFormat="false" ht="15" hidden="false" customHeight="true" outlineLevel="0" collapsed="false">
      <c r="A8" s="11" t="s">
        <v>87</v>
      </c>
      <c r="B8" s="12" t="n">
        <v>45302</v>
      </c>
      <c r="C8" s="11" t="s">
        <v>38</v>
      </c>
      <c r="D8" s="11" t="s">
        <v>88</v>
      </c>
      <c r="E8" s="11" t="s">
        <v>89</v>
      </c>
      <c r="F8" s="11" t="s">
        <v>41</v>
      </c>
      <c r="G8" s="11" t="s">
        <v>52</v>
      </c>
      <c r="H8" s="11" t="s">
        <v>84</v>
      </c>
      <c r="I8" s="11" t="s">
        <v>85</v>
      </c>
      <c r="J8" s="11" t="s">
        <v>90</v>
      </c>
      <c r="K8" s="13" t="n">
        <v>635.29</v>
      </c>
      <c r="L8" s="11" t="n">
        <v>2</v>
      </c>
      <c r="M8" s="14" t="n">
        <v>0</v>
      </c>
      <c r="N8" s="13" t="n">
        <v>486.32</v>
      </c>
      <c r="O8" s="13" t="n">
        <f aca="false">K8*L8*(1-M8)</f>
        <v>1270.58</v>
      </c>
      <c r="P8" s="13" t="n">
        <f aca="false">N8*L8</f>
        <v>972.64</v>
      </c>
      <c r="Q8" s="13" t="n">
        <f aca="false">O8-P8</f>
        <v>297.94</v>
      </c>
      <c r="R8" s="11" t="s">
        <v>71</v>
      </c>
      <c r="S8" s="11" t="s">
        <v>47</v>
      </c>
    </row>
    <row r="9" customFormat="false" ht="15" hidden="false" customHeight="true" outlineLevel="0" collapsed="false">
      <c r="A9" s="15" t="s">
        <v>91</v>
      </c>
      <c r="B9" s="16" t="n">
        <v>45303</v>
      </c>
      <c r="C9" s="15" t="s">
        <v>38</v>
      </c>
      <c r="D9" s="15" t="s">
        <v>92</v>
      </c>
      <c r="E9" s="15" t="s">
        <v>93</v>
      </c>
      <c r="F9" s="15" t="s">
        <v>68</v>
      </c>
      <c r="G9" s="15" t="s">
        <v>42</v>
      </c>
      <c r="H9" s="15" t="s">
        <v>53</v>
      </c>
      <c r="I9" s="15" t="s">
        <v>94</v>
      </c>
      <c r="J9" s="15" t="s">
        <v>95</v>
      </c>
      <c r="K9" s="17" t="n">
        <v>20.73</v>
      </c>
      <c r="L9" s="15" t="n">
        <v>47</v>
      </c>
      <c r="M9" s="18" t="n">
        <v>0</v>
      </c>
      <c r="N9" s="17" t="n">
        <v>13.65</v>
      </c>
      <c r="O9" s="17" t="n">
        <f aca="false">K9*L9*(1-M9)</f>
        <v>974.31</v>
      </c>
      <c r="P9" s="17" t="n">
        <f aca="false">N9*L9</f>
        <v>641.55</v>
      </c>
      <c r="Q9" s="17" t="n">
        <f aca="false">O9-P9</f>
        <v>332.76</v>
      </c>
      <c r="R9" s="15" t="s">
        <v>63</v>
      </c>
      <c r="S9" s="15" t="s">
        <v>47</v>
      </c>
    </row>
    <row r="10" customFormat="false" ht="15" hidden="false" customHeight="true" outlineLevel="0" collapsed="false">
      <c r="A10" s="11" t="s">
        <v>96</v>
      </c>
      <c r="B10" s="12" t="n">
        <v>45303</v>
      </c>
      <c r="C10" s="11" t="s">
        <v>49</v>
      </c>
      <c r="D10" s="11" t="s">
        <v>97</v>
      </c>
      <c r="E10" s="11" t="s">
        <v>98</v>
      </c>
      <c r="F10" s="11" t="s">
        <v>99</v>
      </c>
      <c r="G10" s="11" t="s">
        <v>52</v>
      </c>
      <c r="H10" s="11" t="s">
        <v>84</v>
      </c>
      <c r="I10" s="11" t="s">
        <v>100</v>
      </c>
      <c r="J10" s="11" t="s">
        <v>101</v>
      </c>
      <c r="K10" s="13" t="n">
        <v>1503.46</v>
      </c>
      <c r="L10" s="11" t="n">
        <v>13</v>
      </c>
      <c r="M10" s="14" t="n">
        <v>0.15</v>
      </c>
      <c r="N10" s="13" t="n">
        <v>1132.53</v>
      </c>
      <c r="O10" s="13" t="n">
        <f aca="false">K10*L10*(1-M10)</f>
        <v>16613.233</v>
      </c>
      <c r="P10" s="13" t="n">
        <f aca="false">N10*L10</f>
        <v>14722.89</v>
      </c>
      <c r="Q10" s="13" t="n">
        <f aca="false">O10-P10</f>
        <v>1890.343</v>
      </c>
      <c r="R10" s="11" t="s">
        <v>63</v>
      </c>
      <c r="S10" s="11" t="s">
        <v>47</v>
      </c>
    </row>
    <row r="11" customFormat="false" ht="15" hidden="false" customHeight="true" outlineLevel="0" collapsed="false">
      <c r="A11" s="15" t="s">
        <v>102</v>
      </c>
      <c r="B11" s="16" t="n">
        <v>45304</v>
      </c>
      <c r="C11" s="15" t="s">
        <v>57</v>
      </c>
      <c r="D11" s="15" t="s">
        <v>103</v>
      </c>
      <c r="E11" s="15" t="s">
        <v>104</v>
      </c>
      <c r="F11" s="15" t="s">
        <v>99</v>
      </c>
      <c r="G11" s="15" t="s">
        <v>77</v>
      </c>
      <c r="H11" s="15" t="s">
        <v>53</v>
      </c>
      <c r="I11" s="15" t="s">
        <v>69</v>
      </c>
      <c r="J11" s="15" t="s">
        <v>70</v>
      </c>
      <c r="K11" s="17" t="n">
        <v>27.44</v>
      </c>
      <c r="L11" s="15" t="n">
        <v>121</v>
      </c>
      <c r="M11" s="18" t="n">
        <v>0</v>
      </c>
      <c r="N11" s="17" t="n">
        <v>18.99</v>
      </c>
      <c r="O11" s="17" t="n">
        <f aca="false">K11*L11*(1-M11)</f>
        <v>3320.24</v>
      </c>
      <c r="P11" s="17" t="n">
        <f aca="false">N11*L11</f>
        <v>2297.79</v>
      </c>
      <c r="Q11" s="17" t="n">
        <f aca="false">O11-P11</f>
        <v>1022.45</v>
      </c>
      <c r="R11" s="15" t="s">
        <v>46</v>
      </c>
      <c r="S11" s="15" t="s">
        <v>47</v>
      </c>
    </row>
    <row r="12" customFormat="false" ht="15" hidden="false" customHeight="true" outlineLevel="0" collapsed="false">
      <c r="A12" s="11" t="s">
        <v>105</v>
      </c>
      <c r="B12" s="12" t="n">
        <v>45307</v>
      </c>
      <c r="C12" s="11" t="s">
        <v>49</v>
      </c>
      <c r="D12" s="11" t="s">
        <v>50</v>
      </c>
      <c r="E12" s="11" t="s">
        <v>50</v>
      </c>
      <c r="F12" s="11" t="s">
        <v>51</v>
      </c>
      <c r="G12" s="11" t="s">
        <v>52</v>
      </c>
      <c r="H12" s="11" t="s">
        <v>43</v>
      </c>
      <c r="I12" s="11" t="s">
        <v>44</v>
      </c>
      <c r="J12" s="11" t="s">
        <v>106</v>
      </c>
      <c r="K12" s="13" t="n">
        <v>441.34</v>
      </c>
      <c r="L12" s="11" t="n">
        <v>21</v>
      </c>
      <c r="M12" s="14" t="n">
        <v>0.1</v>
      </c>
      <c r="N12" s="13" t="n">
        <v>130.04</v>
      </c>
      <c r="O12" s="13" t="n">
        <f aca="false">K12*L12*(1-M12)</f>
        <v>8341.326</v>
      </c>
      <c r="P12" s="13" t="n">
        <f aca="false">N12*L12</f>
        <v>2730.84</v>
      </c>
      <c r="Q12" s="13" t="n">
        <f aca="false">O12-P12</f>
        <v>5610.486</v>
      </c>
      <c r="R12" s="11" t="s">
        <v>63</v>
      </c>
      <c r="S12" s="11" t="s">
        <v>72</v>
      </c>
    </row>
    <row r="13" customFormat="false" ht="15" hidden="false" customHeight="true" outlineLevel="0" collapsed="false">
      <c r="A13" s="15" t="s">
        <v>107</v>
      </c>
      <c r="B13" s="16" t="n">
        <v>45308</v>
      </c>
      <c r="C13" s="15" t="s">
        <v>49</v>
      </c>
      <c r="D13" s="15" t="s">
        <v>97</v>
      </c>
      <c r="E13" s="15" t="s">
        <v>108</v>
      </c>
      <c r="F13" s="15" t="s">
        <v>109</v>
      </c>
      <c r="G13" s="15" t="s">
        <v>52</v>
      </c>
      <c r="H13" s="15" t="s">
        <v>84</v>
      </c>
      <c r="I13" s="15" t="s">
        <v>85</v>
      </c>
      <c r="J13" s="15" t="s">
        <v>86</v>
      </c>
      <c r="K13" s="17" t="n">
        <v>617.23</v>
      </c>
      <c r="L13" s="15" t="n">
        <v>18</v>
      </c>
      <c r="M13" s="18" t="n">
        <v>0</v>
      </c>
      <c r="N13" s="17" t="n">
        <v>467.82</v>
      </c>
      <c r="O13" s="17" t="n">
        <f aca="false">K13*L13*(1-M13)</f>
        <v>11110.14</v>
      </c>
      <c r="P13" s="17" t="n">
        <f aca="false">N13*L13</f>
        <v>8420.76</v>
      </c>
      <c r="Q13" s="17" t="n">
        <f aca="false">O13-P13</f>
        <v>2689.38</v>
      </c>
      <c r="R13" s="15" t="s">
        <v>71</v>
      </c>
      <c r="S13" s="15" t="s">
        <v>47</v>
      </c>
    </row>
    <row r="14" customFormat="false" ht="15" hidden="false" customHeight="true" outlineLevel="0" collapsed="false">
      <c r="A14" s="11" t="s">
        <v>110</v>
      </c>
      <c r="B14" s="12" t="n">
        <v>45309</v>
      </c>
      <c r="C14" s="11" t="s">
        <v>65</v>
      </c>
      <c r="D14" s="11" t="s">
        <v>82</v>
      </c>
      <c r="E14" s="11" t="s">
        <v>83</v>
      </c>
      <c r="F14" s="11" t="s">
        <v>60</v>
      </c>
      <c r="G14" s="11" t="s">
        <v>77</v>
      </c>
      <c r="H14" s="11" t="s">
        <v>53</v>
      </c>
      <c r="I14" s="11" t="s">
        <v>94</v>
      </c>
      <c r="J14" s="11" t="s">
        <v>95</v>
      </c>
      <c r="K14" s="13" t="n">
        <v>31.91</v>
      </c>
      <c r="L14" s="11" t="n">
        <v>15</v>
      </c>
      <c r="M14" s="14" t="n">
        <v>0</v>
      </c>
      <c r="N14" s="13" t="n">
        <v>20.47</v>
      </c>
      <c r="O14" s="13" t="n">
        <f aca="false">K14*L14*(1-M14)</f>
        <v>478.65</v>
      </c>
      <c r="P14" s="13" t="n">
        <f aca="false">N14*L14</f>
        <v>307.05</v>
      </c>
      <c r="Q14" s="13" t="n">
        <f aca="false">O14-P14</f>
        <v>171.6</v>
      </c>
      <c r="R14" s="11" t="s">
        <v>46</v>
      </c>
      <c r="S14" s="11" t="s">
        <v>47</v>
      </c>
    </row>
    <row r="15" customFormat="false" ht="15" hidden="false" customHeight="true" outlineLevel="0" collapsed="false">
      <c r="A15" s="15" t="s">
        <v>111</v>
      </c>
      <c r="B15" s="16" t="n">
        <v>45310</v>
      </c>
      <c r="C15" s="15" t="s">
        <v>49</v>
      </c>
      <c r="D15" s="15" t="s">
        <v>97</v>
      </c>
      <c r="E15" s="15" t="s">
        <v>112</v>
      </c>
      <c r="F15" s="15" t="s">
        <v>60</v>
      </c>
      <c r="G15" s="15" t="s">
        <v>42</v>
      </c>
      <c r="H15" s="15" t="s">
        <v>53</v>
      </c>
      <c r="I15" s="15" t="s">
        <v>54</v>
      </c>
      <c r="J15" s="15" t="s">
        <v>113</v>
      </c>
      <c r="K15" s="17" t="n">
        <v>16.06</v>
      </c>
      <c r="L15" s="15" t="n">
        <v>100</v>
      </c>
      <c r="M15" s="18" t="n">
        <v>0.1</v>
      </c>
      <c r="N15" s="17" t="n">
        <v>11.48</v>
      </c>
      <c r="O15" s="17" t="n">
        <f aca="false">K15*L15*(1-M15)</f>
        <v>1445.4</v>
      </c>
      <c r="P15" s="17" t="n">
        <f aca="false">N15*L15</f>
        <v>1148</v>
      </c>
      <c r="Q15" s="17" t="n">
        <f aca="false">O15-P15</f>
        <v>297.4</v>
      </c>
      <c r="R15" s="15" t="s">
        <v>114</v>
      </c>
      <c r="S15" s="15" t="s">
        <v>72</v>
      </c>
    </row>
    <row r="16" customFormat="false" ht="15" hidden="false" customHeight="true" outlineLevel="0" collapsed="false">
      <c r="A16" s="11" t="s">
        <v>115</v>
      </c>
      <c r="B16" s="12" t="n">
        <v>45311</v>
      </c>
      <c r="C16" s="11" t="s">
        <v>65</v>
      </c>
      <c r="D16" s="11" t="s">
        <v>116</v>
      </c>
      <c r="E16" s="11" t="s">
        <v>117</v>
      </c>
      <c r="F16" s="11" t="s">
        <v>118</v>
      </c>
      <c r="G16" s="11" t="s">
        <v>42</v>
      </c>
      <c r="H16" s="11" t="s">
        <v>84</v>
      </c>
      <c r="I16" s="11" t="s">
        <v>85</v>
      </c>
      <c r="J16" s="11" t="s">
        <v>86</v>
      </c>
      <c r="K16" s="13" t="n">
        <v>361.82</v>
      </c>
      <c r="L16" s="11" t="n">
        <v>21</v>
      </c>
      <c r="M16" s="14" t="n">
        <v>0.05</v>
      </c>
      <c r="N16" s="13" t="n">
        <v>275.51</v>
      </c>
      <c r="O16" s="13" t="n">
        <f aca="false">K16*L16*(1-M16)</f>
        <v>7218.309</v>
      </c>
      <c r="P16" s="13" t="n">
        <f aca="false">N16*L16</f>
        <v>5785.71</v>
      </c>
      <c r="Q16" s="13" t="n">
        <f aca="false">O16-P16</f>
        <v>1432.599</v>
      </c>
      <c r="R16" s="11" t="s">
        <v>114</v>
      </c>
      <c r="S16" s="11" t="s">
        <v>47</v>
      </c>
    </row>
    <row r="17" customFormat="false" ht="15" hidden="false" customHeight="true" outlineLevel="0" collapsed="false">
      <c r="A17" s="15" t="s">
        <v>119</v>
      </c>
      <c r="B17" s="16" t="n">
        <v>45311</v>
      </c>
      <c r="C17" s="15" t="s">
        <v>57</v>
      </c>
      <c r="D17" s="15" t="s">
        <v>58</v>
      </c>
      <c r="E17" s="15" t="s">
        <v>59</v>
      </c>
      <c r="F17" s="15" t="s">
        <v>51</v>
      </c>
      <c r="G17" s="15" t="s">
        <v>77</v>
      </c>
      <c r="H17" s="15" t="s">
        <v>78</v>
      </c>
      <c r="I17" s="15" t="s">
        <v>120</v>
      </c>
      <c r="J17" s="15" t="s">
        <v>121</v>
      </c>
      <c r="K17" s="17" t="n">
        <v>324.62</v>
      </c>
      <c r="L17" s="15" t="n">
        <v>37</v>
      </c>
      <c r="M17" s="18" t="n">
        <v>0</v>
      </c>
      <c r="N17" s="17" t="n">
        <v>242.41</v>
      </c>
      <c r="O17" s="17" t="n">
        <f aca="false">K17*L17*(1-M17)</f>
        <v>12010.94</v>
      </c>
      <c r="P17" s="17" t="n">
        <f aca="false">N17*L17</f>
        <v>8969.17</v>
      </c>
      <c r="Q17" s="17" t="n">
        <f aca="false">O17-P17</f>
        <v>3041.77</v>
      </c>
      <c r="R17" s="15" t="s">
        <v>46</v>
      </c>
      <c r="S17" s="15" t="s">
        <v>47</v>
      </c>
    </row>
    <row r="18" customFormat="false" ht="15" hidden="false" customHeight="true" outlineLevel="0" collapsed="false">
      <c r="A18" s="11" t="s">
        <v>122</v>
      </c>
      <c r="B18" s="12" t="n">
        <v>45313</v>
      </c>
      <c r="C18" s="11" t="s">
        <v>38</v>
      </c>
      <c r="D18" s="11" t="s">
        <v>92</v>
      </c>
      <c r="E18" s="11" t="s">
        <v>93</v>
      </c>
      <c r="F18" s="11" t="s">
        <v>123</v>
      </c>
      <c r="G18" s="11" t="s">
        <v>42</v>
      </c>
      <c r="H18" s="11" t="s">
        <v>53</v>
      </c>
      <c r="I18" s="11" t="s">
        <v>54</v>
      </c>
      <c r="J18" s="11" t="s">
        <v>113</v>
      </c>
      <c r="K18" s="13" t="n">
        <v>28.43</v>
      </c>
      <c r="L18" s="11" t="n">
        <v>127</v>
      </c>
      <c r="M18" s="14" t="n">
        <v>0</v>
      </c>
      <c r="N18" s="13" t="n">
        <v>17.66</v>
      </c>
      <c r="O18" s="13" t="n">
        <f aca="false">K18*L18*(1-M18)</f>
        <v>3610.61</v>
      </c>
      <c r="P18" s="13" t="n">
        <f aca="false">N18*L18</f>
        <v>2242.82</v>
      </c>
      <c r="Q18" s="13" t="n">
        <f aca="false">O18-P18</f>
        <v>1367.79</v>
      </c>
      <c r="R18" s="11" t="s">
        <v>114</v>
      </c>
      <c r="S18" s="11" t="s">
        <v>124</v>
      </c>
    </row>
    <row r="19" customFormat="false" ht="15" hidden="false" customHeight="true" outlineLevel="0" collapsed="false">
      <c r="A19" s="15" t="s">
        <v>125</v>
      </c>
      <c r="B19" s="16" t="n">
        <v>45314</v>
      </c>
      <c r="C19" s="15" t="s">
        <v>49</v>
      </c>
      <c r="D19" s="15" t="s">
        <v>97</v>
      </c>
      <c r="E19" s="15" t="s">
        <v>108</v>
      </c>
      <c r="F19" s="15" t="s">
        <v>99</v>
      </c>
      <c r="G19" s="15" t="s">
        <v>126</v>
      </c>
      <c r="H19" s="15" t="s">
        <v>78</v>
      </c>
      <c r="I19" s="15" t="s">
        <v>79</v>
      </c>
      <c r="J19" s="15" t="s">
        <v>80</v>
      </c>
      <c r="K19" s="17" t="n">
        <v>4110.56</v>
      </c>
      <c r="L19" s="15" t="n">
        <v>5</v>
      </c>
      <c r="M19" s="18" t="n">
        <v>0.05</v>
      </c>
      <c r="N19" s="17" t="n">
        <v>3410</v>
      </c>
      <c r="O19" s="17" t="n">
        <f aca="false">K19*L19*(1-M19)</f>
        <v>19525.16</v>
      </c>
      <c r="P19" s="17" t="n">
        <f aca="false">N19*L19</f>
        <v>17050</v>
      </c>
      <c r="Q19" s="17" t="n">
        <f aca="false">O19-P19</f>
        <v>2475.16</v>
      </c>
      <c r="R19" s="15" t="s">
        <v>46</v>
      </c>
      <c r="S19" s="15" t="s">
        <v>47</v>
      </c>
    </row>
    <row r="20" customFormat="false" ht="15" hidden="false" customHeight="true" outlineLevel="0" collapsed="false">
      <c r="A20" s="11" t="s">
        <v>127</v>
      </c>
      <c r="B20" s="12" t="n">
        <v>45315</v>
      </c>
      <c r="C20" s="11" t="s">
        <v>49</v>
      </c>
      <c r="D20" s="11" t="s">
        <v>97</v>
      </c>
      <c r="E20" s="11" t="s">
        <v>98</v>
      </c>
      <c r="F20" s="11" t="s">
        <v>68</v>
      </c>
      <c r="G20" s="11" t="s">
        <v>52</v>
      </c>
      <c r="H20" s="11" t="s">
        <v>53</v>
      </c>
      <c r="I20" s="11" t="s">
        <v>69</v>
      </c>
      <c r="J20" s="11" t="s">
        <v>128</v>
      </c>
      <c r="K20" s="13" t="n">
        <v>19.49</v>
      </c>
      <c r="L20" s="11" t="n">
        <v>131</v>
      </c>
      <c r="M20" s="14" t="n">
        <v>0.05</v>
      </c>
      <c r="N20" s="13" t="n">
        <v>12.15</v>
      </c>
      <c r="O20" s="13" t="n">
        <f aca="false">K20*L20*(1-M20)</f>
        <v>2425.5305</v>
      </c>
      <c r="P20" s="13" t="n">
        <f aca="false">N20*L20</f>
        <v>1591.65</v>
      </c>
      <c r="Q20" s="13" t="n">
        <f aca="false">O20-P20</f>
        <v>833.880499999999</v>
      </c>
      <c r="R20" s="11" t="s">
        <v>63</v>
      </c>
      <c r="S20" s="11" t="s">
        <v>47</v>
      </c>
    </row>
    <row r="21" customFormat="false" ht="15" hidden="false" customHeight="true" outlineLevel="0" collapsed="false">
      <c r="A21" s="15" t="s">
        <v>129</v>
      </c>
      <c r="B21" s="16" t="n">
        <v>45315</v>
      </c>
      <c r="C21" s="15" t="s">
        <v>57</v>
      </c>
      <c r="D21" s="15" t="s">
        <v>103</v>
      </c>
      <c r="E21" s="15" t="s">
        <v>104</v>
      </c>
      <c r="F21" s="15" t="s">
        <v>68</v>
      </c>
      <c r="G21" s="15" t="s">
        <v>130</v>
      </c>
      <c r="H21" s="15" t="s">
        <v>53</v>
      </c>
      <c r="I21" s="15" t="s">
        <v>94</v>
      </c>
      <c r="J21" s="15" t="s">
        <v>131</v>
      </c>
      <c r="K21" s="17" t="n">
        <v>41.9</v>
      </c>
      <c r="L21" s="15" t="n">
        <v>70</v>
      </c>
      <c r="M21" s="18" t="n">
        <v>0.15</v>
      </c>
      <c r="N21" s="17" t="n">
        <v>28.75</v>
      </c>
      <c r="O21" s="17" t="n">
        <f aca="false">K21*L21*(1-M21)</f>
        <v>2493.05</v>
      </c>
      <c r="P21" s="17" t="n">
        <f aca="false">N21*L21</f>
        <v>2012.5</v>
      </c>
      <c r="Q21" s="17" t="n">
        <f aca="false">O21-P21</f>
        <v>480.55</v>
      </c>
      <c r="R21" s="15" t="s">
        <v>46</v>
      </c>
      <c r="S21" s="15" t="s">
        <v>47</v>
      </c>
    </row>
    <row r="22" customFormat="false" ht="15" hidden="false" customHeight="true" outlineLevel="0" collapsed="false">
      <c r="A22" s="11" t="s">
        <v>132</v>
      </c>
      <c r="B22" s="12" t="n">
        <v>45315</v>
      </c>
      <c r="C22" s="11" t="s">
        <v>38</v>
      </c>
      <c r="D22" s="11" t="s">
        <v>92</v>
      </c>
      <c r="E22" s="11" t="s">
        <v>93</v>
      </c>
      <c r="F22" s="11" t="s">
        <v>109</v>
      </c>
      <c r="G22" s="11" t="s">
        <v>126</v>
      </c>
      <c r="H22" s="11" t="s">
        <v>84</v>
      </c>
      <c r="I22" s="11" t="s">
        <v>85</v>
      </c>
      <c r="J22" s="11" t="s">
        <v>90</v>
      </c>
      <c r="K22" s="13" t="n">
        <v>778.23</v>
      </c>
      <c r="L22" s="11" t="n">
        <v>17</v>
      </c>
      <c r="M22" s="14" t="n">
        <v>0</v>
      </c>
      <c r="N22" s="13" t="n">
        <v>588.79</v>
      </c>
      <c r="O22" s="13" t="n">
        <f aca="false">K22*L22*(1-M22)</f>
        <v>13229.91</v>
      </c>
      <c r="P22" s="13" t="n">
        <f aca="false">N22*L22</f>
        <v>10009.43</v>
      </c>
      <c r="Q22" s="13" t="n">
        <f aca="false">O22-P22</f>
        <v>3220.48</v>
      </c>
      <c r="R22" s="11" t="s">
        <v>71</v>
      </c>
      <c r="S22" s="11" t="s">
        <v>124</v>
      </c>
    </row>
    <row r="23" customFormat="false" ht="15" hidden="false" customHeight="true" outlineLevel="0" collapsed="false">
      <c r="A23" s="15" t="s">
        <v>133</v>
      </c>
      <c r="B23" s="16" t="n">
        <v>45315</v>
      </c>
      <c r="C23" s="15" t="s">
        <v>38</v>
      </c>
      <c r="D23" s="15" t="s">
        <v>88</v>
      </c>
      <c r="E23" s="15" t="s">
        <v>89</v>
      </c>
      <c r="F23" s="15" t="s">
        <v>109</v>
      </c>
      <c r="G23" s="15" t="s">
        <v>42</v>
      </c>
      <c r="H23" s="15" t="s">
        <v>43</v>
      </c>
      <c r="I23" s="15" t="s">
        <v>44</v>
      </c>
      <c r="J23" s="15" t="s">
        <v>45</v>
      </c>
      <c r="K23" s="17" t="n">
        <v>215.66</v>
      </c>
      <c r="L23" s="15" t="n">
        <v>9</v>
      </c>
      <c r="M23" s="18" t="n">
        <v>0</v>
      </c>
      <c r="N23" s="17" t="n">
        <v>88.31</v>
      </c>
      <c r="O23" s="17" t="n">
        <f aca="false">K23*L23*(1-M23)</f>
        <v>1940.94</v>
      </c>
      <c r="P23" s="17" t="n">
        <f aca="false">N23*L23</f>
        <v>794.79</v>
      </c>
      <c r="Q23" s="17" t="n">
        <f aca="false">O23-P23</f>
        <v>1146.15</v>
      </c>
      <c r="R23" s="15" t="s">
        <v>46</v>
      </c>
      <c r="S23" s="15" t="s">
        <v>47</v>
      </c>
    </row>
    <row r="24" customFormat="false" ht="15" hidden="false" customHeight="true" outlineLevel="0" collapsed="false">
      <c r="A24" s="11" t="s">
        <v>134</v>
      </c>
      <c r="B24" s="12" t="n">
        <v>45317</v>
      </c>
      <c r="C24" s="11" t="s">
        <v>74</v>
      </c>
      <c r="D24" s="11" t="s">
        <v>75</v>
      </c>
      <c r="E24" s="11" t="s">
        <v>76</v>
      </c>
      <c r="F24" s="11" t="s">
        <v>135</v>
      </c>
      <c r="G24" s="11" t="s">
        <v>52</v>
      </c>
      <c r="H24" s="11" t="s">
        <v>84</v>
      </c>
      <c r="I24" s="11" t="s">
        <v>136</v>
      </c>
      <c r="J24" s="11" t="s">
        <v>137</v>
      </c>
      <c r="K24" s="13" t="n">
        <v>389.32</v>
      </c>
      <c r="L24" s="11" t="n">
        <v>32</v>
      </c>
      <c r="M24" s="14" t="n">
        <v>0</v>
      </c>
      <c r="N24" s="13" t="n">
        <v>304.32</v>
      </c>
      <c r="O24" s="13" t="n">
        <f aca="false">K24*L24*(1-M24)</f>
        <v>12458.24</v>
      </c>
      <c r="P24" s="13" t="n">
        <f aca="false">N24*L24</f>
        <v>9738.24</v>
      </c>
      <c r="Q24" s="13" t="n">
        <f aca="false">O24-P24</f>
        <v>2720</v>
      </c>
      <c r="R24" s="11" t="s">
        <v>63</v>
      </c>
      <c r="S24" s="11" t="s">
        <v>47</v>
      </c>
    </row>
    <row r="25" customFormat="false" ht="15" hidden="false" customHeight="true" outlineLevel="0" collapsed="false">
      <c r="A25" s="15" t="s">
        <v>138</v>
      </c>
      <c r="B25" s="16" t="n">
        <v>45317</v>
      </c>
      <c r="C25" s="15" t="s">
        <v>49</v>
      </c>
      <c r="D25" s="15" t="s">
        <v>97</v>
      </c>
      <c r="E25" s="15" t="s">
        <v>108</v>
      </c>
      <c r="F25" s="15" t="s">
        <v>68</v>
      </c>
      <c r="G25" s="15" t="s">
        <v>126</v>
      </c>
      <c r="H25" s="15" t="s">
        <v>84</v>
      </c>
      <c r="I25" s="15" t="s">
        <v>100</v>
      </c>
      <c r="J25" s="15" t="s">
        <v>139</v>
      </c>
      <c r="K25" s="17" t="n">
        <v>853.29</v>
      </c>
      <c r="L25" s="15" t="n">
        <v>7</v>
      </c>
      <c r="M25" s="18" t="n">
        <v>0.05</v>
      </c>
      <c r="N25" s="17" t="n">
        <v>644.09</v>
      </c>
      <c r="O25" s="17" t="n">
        <f aca="false">K25*L25*(1-M25)</f>
        <v>5674.3785</v>
      </c>
      <c r="P25" s="17" t="n">
        <f aca="false">N25*L25</f>
        <v>4508.63</v>
      </c>
      <c r="Q25" s="17" t="n">
        <f aca="false">O25-P25</f>
        <v>1165.7485</v>
      </c>
      <c r="R25" s="15" t="s">
        <v>46</v>
      </c>
      <c r="S25" s="15" t="s">
        <v>47</v>
      </c>
    </row>
    <row r="26" customFormat="false" ht="15" hidden="false" customHeight="true" outlineLevel="0" collapsed="false">
      <c r="A26" s="11" t="s">
        <v>140</v>
      </c>
      <c r="B26" s="12" t="n">
        <v>45317</v>
      </c>
      <c r="C26" s="11" t="s">
        <v>49</v>
      </c>
      <c r="D26" s="11" t="s">
        <v>97</v>
      </c>
      <c r="E26" s="11" t="s">
        <v>108</v>
      </c>
      <c r="F26" s="11" t="s">
        <v>135</v>
      </c>
      <c r="G26" s="11" t="s">
        <v>52</v>
      </c>
      <c r="H26" s="11" t="s">
        <v>84</v>
      </c>
      <c r="I26" s="11" t="s">
        <v>100</v>
      </c>
      <c r="J26" s="11" t="s">
        <v>139</v>
      </c>
      <c r="K26" s="13" t="n">
        <v>719.57</v>
      </c>
      <c r="L26" s="11" t="n">
        <v>2</v>
      </c>
      <c r="M26" s="14" t="n">
        <v>0.1</v>
      </c>
      <c r="N26" s="13" t="n">
        <v>539.33</v>
      </c>
      <c r="O26" s="13" t="n">
        <f aca="false">K26*L26*(1-M26)</f>
        <v>1295.226</v>
      </c>
      <c r="P26" s="13" t="n">
        <f aca="false">N26*L26</f>
        <v>1078.66</v>
      </c>
      <c r="Q26" s="13" t="n">
        <f aca="false">O26-P26</f>
        <v>216.566</v>
      </c>
      <c r="R26" s="11" t="s">
        <v>114</v>
      </c>
      <c r="S26" s="11" t="s">
        <v>47</v>
      </c>
    </row>
    <row r="27" customFormat="false" ht="15" hidden="false" customHeight="true" outlineLevel="0" collapsed="false">
      <c r="A27" s="15" t="s">
        <v>141</v>
      </c>
      <c r="B27" s="16" t="n">
        <v>45318</v>
      </c>
      <c r="C27" s="15" t="s">
        <v>49</v>
      </c>
      <c r="D27" s="15" t="s">
        <v>50</v>
      </c>
      <c r="E27" s="15" t="s">
        <v>50</v>
      </c>
      <c r="F27" s="15" t="s">
        <v>109</v>
      </c>
      <c r="G27" s="15" t="s">
        <v>77</v>
      </c>
      <c r="H27" s="15" t="s">
        <v>53</v>
      </c>
      <c r="I27" s="15" t="s">
        <v>94</v>
      </c>
      <c r="J27" s="15" t="s">
        <v>131</v>
      </c>
      <c r="K27" s="17" t="n">
        <v>52.29</v>
      </c>
      <c r="L27" s="15" t="n">
        <v>96</v>
      </c>
      <c r="M27" s="18" t="n">
        <v>0.1</v>
      </c>
      <c r="N27" s="17" t="n">
        <v>35.39</v>
      </c>
      <c r="O27" s="17" t="n">
        <f aca="false">K27*L27*(1-M27)</f>
        <v>4517.856</v>
      </c>
      <c r="P27" s="17" t="n">
        <f aca="false">N27*L27</f>
        <v>3397.44</v>
      </c>
      <c r="Q27" s="17" t="n">
        <f aca="false">O27-P27</f>
        <v>1120.416</v>
      </c>
      <c r="R27" s="15" t="s">
        <v>63</v>
      </c>
      <c r="S27" s="15" t="s">
        <v>47</v>
      </c>
    </row>
    <row r="28" customFormat="false" ht="15" hidden="false" customHeight="true" outlineLevel="0" collapsed="false">
      <c r="A28" s="11" t="s">
        <v>142</v>
      </c>
      <c r="B28" s="12" t="n">
        <v>45321</v>
      </c>
      <c r="C28" s="11" t="s">
        <v>49</v>
      </c>
      <c r="D28" s="11" t="s">
        <v>97</v>
      </c>
      <c r="E28" s="11" t="s">
        <v>112</v>
      </c>
      <c r="F28" s="11" t="s">
        <v>60</v>
      </c>
      <c r="G28" s="11" t="s">
        <v>77</v>
      </c>
      <c r="H28" s="11" t="s">
        <v>78</v>
      </c>
      <c r="I28" s="11" t="s">
        <v>143</v>
      </c>
      <c r="J28" s="11" t="s">
        <v>144</v>
      </c>
      <c r="K28" s="13" t="n">
        <v>1261.04</v>
      </c>
      <c r="L28" s="11" t="n">
        <v>4</v>
      </c>
      <c r="M28" s="14" t="n">
        <v>0</v>
      </c>
      <c r="N28" s="13" t="n">
        <v>993.5</v>
      </c>
      <c r="O28" s="13" t="n">
        <f aca="false">K28*L28*(1-M28)</f>
        <v>5044.16</v>
      </c>
      <c r="P28" s="13" t="n">
        <f aca="false">N28*L28</f>
        <v>3974</v>
      </c>
      <c r="Q28" s="13" t="n">
        <f aca="false">O28-P28</f>
        <v>1070.16</v>
      </c>
      <c r="R28" s="11" t="s">
        <v>114</v>
      </c>
      <c r="S28" s="11" t="s">
        <v>72</v>
      </c>
    </row>
    <row r="29" customFormat="false" ht="15" hidden="false" customHeight="true" outlineLevel="0" collapsed="false">
      <c r="A29" s="15" t="s">
        <v>145</v>
      </c>
      <c r="B29" s="16" t="n">
        <v>45321</v>
      </c>
      <c r="C29" s="15" t="s">
        <v>65</v>
      </c>
      <c r="D29" s="15" t="s">
        <v>82</v>
      </c>
      <c r="E29" s="15" t="s">
        <v>83</v>
      </c>
      <c r="F29" s="15" t="s">
        <v>41</v>
      </c>
      <c r="G29" s="15" t="s">
        <v>52</v>
      </c>
      <c r="H29" s="15" t="s">
        <v>53</v>
      </c>
      <c r="I29" s="15" t="s">
        <v>94</v>
      </c>
      <c r="J29" s="15" t="s">
        <v>131</v>
      </c>
      <c r="K29" s="17" t="n">
        <v>29</v>
      </c>
      <c r="L29" s="15" t="n">
        <v>55</v>
      </c>
      <c r="M29" s="18" t="n">
        <v>0.05</v>
      </c>
      <c r="N29" s="17" t="n">
        <v>18.16</v>
      </c>
      <c r="O29" s="17" t="n">
        <f aca="false">K29*L29*(1-M29)</f>
        <v>1515.25</v>
      </c>
      <c r="P29" s="17" t="n">
        <f aca="false">N29*L29</f>
        <v>998.8</v>
      </c>
      <c r="Q29" s="17" t="n">
        <f aca="false">O29-P29</f>
        <v>516.45</v>
      </c>
      <c r="R29" s="15" t="s">
        <v>46</v>
      </c>
      <c r="S29" s="15" t="s">
        <v>47</v>
      </c>
    </row>
    <row r="30" customFormat="false" ht="15" hidden="false" customHeight="true" outlineLevel="0" collapsed="false">
      <c r="A30" s="11" t="s">
        <v>146</v>
      </c>
      <c r="B30" s="12" t="n">
        <v>45322</v>
      </c>
      <c r="C30" s="11" t="s">
        <v>49</v>
      </c>
      <c r="D30" s="11" t="s">
        <v>97</v>
      </c>
      <c r="E30" s="11" t="s">
        <v>112</v>
      </c>
      <c r="F30" s="11" t="s">
        <v>68</v>
      </c>
      <c r="G30" s="11" t="s">
        <v>52</v>
      </c>
      <c r="H30" s="11" t="s">
        <v>43</v>
      </c>
      <c r="I30" s="11" t="s">
        <v>61</v>
      </c>
      <c r="J30" s="11" t="s">
        <v>147</v>
      </c>
      <c r="K30" s="13" t="n">
        <v>363.7</v>
      </c>
      <c r="L30" s="11" t="n">
        <v>31</v>
      </c>
      <c r="M30" s="14" t="n">
        <v>0.1</v>
      </c>
      <c r="N30" s="13" t="n">
        <v>152.64</v>
      </c>
      <c r="O30" s="13" t="n">
        <f aca="false">K30*L30*(1-M30)</f>
        <v>10147.23</v>
      </c>
      <c r="P30" s="13" t="n">
        <f aca="false">N30*L30</f>
        <v>4731.84</v>
      </c>
      <c r="Q30" s="13" t="n">
        <f aca="false">O30-P30</f>
        <v>5415.39</v>
      </c>
      <c r="R30" s="11" t="s">
        <v>114</v>
      </c>
      <c r="S30" s="11" t="s">
        <v>47</v>
      </c>
    </row>
    <row r="31" customFormat="false" ht="15" hidden="false" customHeight="true" outlineLevel="0" collapsed="false">
      <c r="A31" s="15" t="s">
        <v>148</v>
      </c>
      <c r="B31" s="16" t="n">
        <v>45322</v>
      </c>
      <c r="C31" s="15" t="s">
        <v>65</v>
      </c>
      <c r="D31" s="15" t="s">
        <v>149</v>
      </c>
      <c r="E31" s="15" t="s">
        <v>150</v>
      </c>
      <c r="F31" s="15" t="s">
        <v>123</v>
      </c>
      <c r="G31" s="15" t="s">
        <v>52</v>
      </c>
      <c r="H31" s="15" t="s">
        <v>43</v>
      </c>
      <c r="I31" s="15" t="s">
        <v>61</v>
      </c>
      <c r="J31" s="15" t="s">
        <v>62</v>
      </c>
      <c r="K31" s="17" t="n">
        <v>359.14</v>
      </c>
      <c r="L31" s="15" t="n">
        <v>31</v>
      </c>
      <c r="M31" s="18" t="n">
        <v>0</v>
      </c>
      <c r="N31" s="17" t="n">
        <v>127.47</v>
      </c>
      <c r="O31" s="17" t="n">
        <f aca="false">K31*L31*(1-M31)</f>
        <v>11133.34</v>
      </c>
      <c r="P31" s="17" t="n">
        <f aca="false">N31*L31</f>
        <v>3951.57</v>
      </c>
      <c r="Q31" s="17" t="n">
        <f aca="false">O31-P31</f>
        <v>7181.77</v>
      </c>
      <c r="R31" s="15" t="s">
        <v>46</v>
      </c>
      <c r="S31" s="15" t="s">
        <v>47</v>
      </c>
    </row>
    <row r="32" customFormat="false" ht="15" hidden="false" customHeight="true" outlineLevel="0" collapsed="false">
      <c r="A32" s="11" t="s">
        <v>151</v>
      </c>
      <c r="B32" s="12" t="n">
        <v>45322</v>
      </c>
      <c r="C32" s="11" t="s">
        <v>49</v>
      </c>
      <c r="D32" s="11" t="s">
        <v>152</v>
      </c>
      <c r="E32" s="11" t="s">
        <v>152</v>
      </c>
      <c r="F32" s="11" t="s">
        <v>68</v>
      </c>
      <c r="G32" s="11" t="s">
        <v>42</v>
      </c>
      <c r="H32" s="11" t="s">
        <v>43</v>
      </c>
      <c r="I32" s="11" t="s">
        <v>44</v>
      </c>
      <c r="J32" s="11" t="s">
        <v>106</v>
      </c>
      <c r="K32" s="13" t="n">
        <v>460.29</v>
      </c>
      <c r="L32" s="11" t="n">
        <v>22</v>
      </c>
      <c r="M32" s="14" t="n">
        <v>0.05</v>
      </c>
      <c r="N32" s="13" t="n">
        <v>183.88</v>
      </c>
      <c r="O32" s="13" t="n">
        <f aca="false">K32*L32*(1-M32)</f>
        <v>9620.061</v>
      </c>
      <c r="P32" s="13" t="n">
        <f aca="false">N32*L32</f>
        <v>4045.36</v>
      </c>
      <c r="Q32" s="13" t="n">
        <f aca="false">O32-P32</f>
        <v>5574.701</v>
      </c>
      <c r="R32" s="11" t="s">
        <v>46</v>
      </c>
      <c r="S32" s="11" t="s">
        <v>47</v>
      </c>
    </row>
    <row r="33" customFormat="false" ht="15" hidden="false" customHeight="true" outlineLevel="0" collapsed="false">
      <c r="A33" s="15" t="s">
        <v>153</v>
      </c>
      <c r="B33" s="16" t="n">
        <v>45323</v>
      </c>
      <c r="C33" s="15" t="s">
        <v>65</v>
      </c>
      <c r="D33" s="15" t="s">
        <v>66</v>
      </c>
      <c r="E33" s="15" t="s">
        <v>67</v>
      </c>
      <c r="F33" s="15" t="s">
        <v>99</v>
      </c>
      <c r="G33" s="15" t="s">
        <v>52</v>
      </c>
      <c r="H33" s="15" t="s">
        <v>78</v>
      </c>
      <c r="I33" s="15" t="s">
        <v>154</v>
      </c>
      <c r="J33" s="15" t="s">
        <v>155</v>
      </c>
      <c r="K33" s="17" t="n">
        <v>603.77</v>
      </c>
      <c r="L33" s="15" t="n">
        <v>19</v>
      </c>
      <c r="M33" s="18" t="n">
        <v>0</v>
      </c>
      <c r="N33" s="17" t="n">
        <v>478.35</v>
      </c>
      <c r="O33" s="17" t="n">
        <f aca="false">K33*L33*(1-M33)</f>
        <v>11471.63</v>
      </c>
      <c r="P33" s="17" t="n">
        <f aca="false">N33*L33</f>
        <v>9088.65</v>
      </c>
      <c r="Q33" s="17" t="n">
        <f aca="false">O33-P33</f>
        <v>2382.98</v>
      </c>
      <c r="R33" s="15" t="s">
        <v>63</v>
      </c>
      <c r="S33" s="15" t="s">
        <v>47</v>
      </c>
    </row>
    <row r="34" customFormat="false" ht="15" hidden="false" customHeight="true" outlineLevel="0" collapsed="false">
      <c r="A34" s="11" t="s">
        <v>156</v>
      </c>
      <c r="B34" s="12" t="n">
        <v>45323</v>
      </c>
      <c r="C34" s="11" t="s">
        <v>49</v>
      </c>
      <c r="D34" s="11" t="s">
        <v>97</v>
      </c>
      <c r="E34" s="11" t="s">
        <v>98</v>
      </c>
      <c r="F34" s="11" t="s">
        <v>135</v>
      </c>
      <c r="G34" s="11" t="s">
        <v>42</v>
      </c>
      <c r="H34" s="11" t="s">
        <v>43</v>
      </c>
      <c r="I34" s="11" t="s">
        <v>61</v>
      </c>
      <c r="J34" s="11" t="s">
        <v>147</v>
      </c>
      <c r="K34" s="13" t="n">
        <v>277.28</v>
      </c>
      <c r="L34" s="11" t="n">
        <v>16</v>
      </c>
      <c r="M34" s="14" t="n">
        <v>0</v>
      </c>
      <c r="N34" s="13" t="n">
        <v>110.27</v>
      </c>
      <c r="O34" s="13" t="n">
        <f aca="false">K34*L34*(1-M34)</f>
        <v>4436.48</v>
      </c>
      <c r="P34" s="13" t="n">
        <f aca="false">N34*L34</f>
        <v>1764.32</v>
      </c>
      <c r="Q34" s="13" t="n">
        <f aca="false">O34-P34</f>
        <v>2672.16</v>
      </c>
      <c r="R34" s="11" t="s">
        <v>46</v>
      </c>
      <c r="S34" s="11" t="s">
        <v>47</v>
      </c>
    </row>
    <row r="35" customFormat="false" ht="15" hidden="false" customHeight="true" outlineLevel="0" collapsed="false">
      <c r="A35" s="15" t="s">
        <v>157</v>
      </c>
      <c r="B35" s="16" t="n">
        <v>45327</v>
      </c>
      <c r="C35" s="15" t="s">
        <v>65</v>
      </c>
      <c r="D35" s="15" t="s">
        <v>66</v>
      </c>
      <c r="E35" s="15" t="s">
        <v>67</v>
      </c>
      <c r="F35" s="15" t="s">
        <v>135</v>
      </c>
      <c r="G35" s="15" t="s">
        <v>77</v>
      </c>
      <c r="H35" s="15" t="s">
        <v>78</v>
      </c>
      <c r="I35" s="15" t="s">
        <v>143</v>
      </c>
      <c r="J35" s="15" t="s">
        <v>158</v>
      </c>
      <c r="K35" s="17" t="n">
        <v>928.73</v>
      </c>
      <c r="L35" s="15" t="n">
        <v>15</v>
      </c>
      <c r="M35" s="18" t="n">
        <v>0</v>
      </c>
      <c r="N35" s="17" t="n">
        <v>737.87</v>
      </c>
      <c r="O35" s="17" t="n">
        <f aca="false">K35*L35*(1-M35)</f>
        <v>13930.95</v>
      </c>
      <c r="P35" s="17" t="n">
        <f aca="false">N35*L35</f>
        <v>11068.05</v>
      </c>
      <c r="Q35" s="17" t="n">
        <f aca="false">O35-P35</f>
        <v>2862.9</v>
      </c>
      <c r="R35" s="15" t="s">
        <v>46</v>
      </c>
      <c r="S35" s="15" t="s">
        <v>47</v>
      </c>
    </row>
    <row r="36" customFormat="false" ht="15" hidden="false" customHeight="true" outlineLevel="0" collapsed="false">
      <c r="A36" s="11" t="s">
        <v>159</v>
      </c>
      <c r="B36" s="12" t="n">
        <v>45328</v>
      </c>
      <c r="C36" s="11" t="s">
        <v>49</v>
      </c>
      <c r="D36" s="11" t="s">
        <v>97</v>
      </c>
      <c r="E36" s="11" t="s">
        <v>108</v>
      </c>
      <c r="F36" s="11" t="s">
        <v>118</v>
      </c>
      <c r="G36" s="11" t="s">
        <v>130</v>
      </c>
      <c r="H36" s="11" t="s">
        <v>53</v>
      </c>
      <c r="I36" s="11" t="s">
        <v>54</v>
      </c>
      <c r="J36" s="11" t="s">
        <v>55</v>
      </c>
      <c r="K36" s="13" t="n">
        <v>21.09</v>
      </c>
      <c r="L36" s="11" t="n">
        <v>126</v>
      </c>
      <c r="M36" s="14" t="n">
        <v>0.2</v>
      </c>
      <c r="N36" s="13" t="n">
        <v>13.31</v>
      </c>
      <c r="O36" s="13" t="n">
        <f aca="false">K36*L36*(1-M36)</f>
        <v>2125.872</v>
      </c>
      <c r="P36" s="13" t="n">
        <f aca="false">N36*L36</f>
        <v>1677.06</v>
      </c>
      <c r="Q36" s="13" t="n">
        <f aca="false">O36-P36</f>
        <v>448.812</v>
      </c>
      <c r="R36" s="11" t="s">
        <v>46</v>
      </c>
      <c r="S36" s="11" t="s">
        <v>47</v>
      </c>
    </row>
    <row r="37" customFormat="false" ht="15" hidden="false" customHeight="true" outlineLevel="0" collapsed="false">
      <c r="A37" s="15" t="s">
        <v>160</v>
      </c>
      <c r="B37" s="16" t="n">
        <v>45329</v>
      </c>
      <c r="C37" s="15" t="s">
        <v>49</v>
      </c>
      <c r="D37" s="15" t="s">
        <v>97</v>
      </c>
      <c r="E37" s="15" t="s">
        <v>98</v>
      </c>
      <c r="F37" s="15" t="s">
        <v>68</v>
      </c>
      <c r="G37" s="15" t="s">
        <v>130</v>
      </c>
      <c r="H37" s="15" t="s">
        <v>53</v>
      </c>
      <c r="I37" s="15" t="s">
        <v>54</v>
      </c>
      <c r="J37" s="15" t="s">
        <v>55</v>
      </c>
      <c r="K37" s="17" t="n">
        <v>21.15</v>
      </c>
      <c r="L37" s="15" t="n">
        <v>148</v>
      </c>
      <c r="M37" s="18" t="n">
        <v>0.05</v>
      </c>
      <c r="N37" s="17" t="n">
        <v>12.43</v>
      </c>
      <c r="O37" s="17" t="n">
        <f aca="false">K37*L37*(1-M37)</f>
        <v>2973.69</v>
      </c>
      <c r="P37" s="17" t="n">
        <f aca="false">N37*L37</f>
        <v>1839.64</v>
      </c>
      <c r="Q37" s="17" t="n">
        <f aca="false">O37-P37</f>
        <v>1134.05</v>
      </c>
      <c r="R37" s="15" t="s">
        <v>63</v>
      </c>
      <c r="S37" s="15" t="s">
        <v>47</v>
      </c>
    </row>
    <row r="38" customFormat="false" ht="15" hidden="false" customHeight="true" outlineLevel="0" collapsed="false">
      <c r="A38" s="11" t="s">
        <v>161</v>
      </c>
      <c r="B38" s="12" t="n">
        <v>45330</v>
      </c>
      <c r="C38" s="11" t="s">
        <v>57</v>
      </c>
      <c r="D38" s="11" t="s">
        <v>162</v>
      </c>
      <c r="E38" s="11" t="s">
        <v>163</v>
      </c>
      <c r="F38" s="11" t="s">
        <v>68</v>
      </c>
      <c r="G38" s="11" t="s">
        <v>77</v>
      </c>
      <c r="H38" s="11" t="s">
        <v>53</v>
      </c>
      <c r="I38" s="11" t="s">
        <v>94</v>
      </c>
      <c r="J38" s="11" t="s">
        <v>95</v>
      </c>
      <c r="K38" s="13" t="n">
        <v>28.79</v>
      </c>
      <c r="L38" s="11" t="n">
        <v>108</v>
      </c>
      <c r="M38" s="14" t="n">
        <v>0.05</v>
      </c>
      <c r="N38" s="13" t="n">
        <v>16.65</v>
      </c>
      <c r="O38" s="13" t="n">
        <f aca="false">K38*L38*(1-M38)</f>
        <v>2953.854</v>
      </c>
      <c r="P38" s="13" t="n">
        <f aca="false">N38*L38</f>
        <v>1798.2</v>
      </c>
      <c r="Q38" s="13" t="n">
        <f aca="false">O38-P38</f>
        <v>1155.654</v>
      </c>
      <c r="R38" s="11" t="s">
        <v>63</v>
      </c>
      <c r="S38" s="11" t="s">
        <v>47</v>
      </c>
    </row>
    <row r="39" customFormat="false" ht="15" hidden="false" customHeight="true" outlineLevel="0" collapsed="false">
      <c r="A39" s="15" t="s">
        <v>164</v>
      </c>
      <c r="B39" s="16" t="n">
        <v>45332</v>
      </c>
      <c r="C39" s="15" t="s">
        <v>49</v>
      </c>
      <c r="D39" s="15" t="s">
        <v>152</v>
      </c>
      <c r="E39" s="15" t="s">
        <v>152</v>
      </c>
      <c r="F39" s="15" t="s">
        <v>60</v>
      </c>
      <c r="G39" s="15" t="s">
        <v>52</v>
      </c>
      <c r="H39" s="15" t="s">
        <v>78</v>
      </c>
      <c r="I39" s="15" t="s">
        <v>154</v>
      </c>
      <c r="J39" s="15" t="s">
        <v>155</v>
      </c>
      <c r="K39" s="17" t="n">
        <v>700.75</v>
      </c>
      <c r="L39" s="15" t="n">
        <v>6</v>
      </c>
      <c r="M39" s="18" t="n">
        <v>0</v>
      </c>
      <c r="N39" s="17" t="n">
        <v>547.7</v>
      </c>
      <c r="O39" s="17" t="n">
        <f aca="false">K39*L39*(1-M39)</f>
        <v>4204.5</v>
      </c>
      <c r="P39" s="17" t="n">
        <f aca="false">N39*L39</f>
        <v>3286.2</v>
      </c>
      <c r="Q39" s="17" t="n">
        <f aca="false">O39-P39</f>
        <v>918.3</v>
      </c>
      <c r="R39" s="15" t="s">
        <v>63</v>
      </c>
      <c r="S39" s="15" t="s">
        <v>47</v>
      </c>
    </row>
    <row r="40" customFormat="false" ht="15" hidden="false" customHeight="true" outlineLevel="0" collapsed="false">
      <c r="A40" s="11" t="s">
        <v>165</v>
      </c>
      <c r="B40" s="12" t="n">
        <v>45332</v>
      </c>
      <c r="C40" s="11" t="s">
        <v>38</v>
      </c>
      <c r="D40" s="11" t="s">
        <v>88</v>
      </c>
      <c r="E40" s="11" t="s">
        <v>89</v>
      </c>
      <c r="F40" s="11" t="s">
        <v>41</v>
      </c>
      <c r="G40" s="11" t="s">
        <v>42</v>
      </c>
      <c r="H40" s="11" t="s">
        <v>84</v>
      </c>
      <c r="I40" s="11" t="s">
        <v>136</v>
      </c>
      <c r="J40" s="11" t="s">
        <v>137</v>
      </c>
      <c r="K40" s="13" t="n">
        <v>259.83</v>
      </c>
      <c r="L40" s="11" t="n">
        <v>28</v>
      </c>
      <c r="M40" s="14" t="n">
        <v>0.05</v>
      </c>
      <c r="N40" s="13" t="n">
        <v>206.96</v>
      </c>
      <c r="O40" s="13" t="n">
        <f aca="false">K40*L40*(1-M40)</f>
        <v>6911.478</v>
      </c>
      <c r="P40" s="13" t="n">
        <f aca="false">N40*L40</f>
        <v>5794.88</v>
      </c>
      <c r="Q40" s="13" t="n">
        <f aca="false">O40-P40</f>
        <v>1116.598</v>
      </c>
      <c r="R40" s="11" t="s">
        <v>46</v>
      </c>
      <c r="S40" s="11" t="s">
        <v>72</v>
      </c>
    </row>
    <row r="41" customFormat="false" ht="15" hidden="false" customHeight="true" outlineLevel="0" collapsed="false">
      <c r="A41" s="15" t="s">
        <v>166</v>
      </c>
      <c r="B41" s="16" t="n">
        <v>45333</v>
      </c>
      <c r="C41" s="15" t="s">
        <v>49</v>
      </c>
      <c r="D41" s="15" t="s">
        <v>97</v>
      </c>
      <c r="E41" s="15" t="s">
        <v>98</v>
      </c>
      <c r="F41" s="15" t="s">
        <v>123</v>
      </c>
      <c r="G41" s="15" t="s">
        <v>42</v>
      </c>
      <c r="H41" s="15" t="s">
        <v>53</v>
      </c>
      <c r="I41" s="15" t="s">
        <v>69</v>
      </c>
      <c r="J41" s="15" t="s">
        <v>128</v>
      </c>
      <c r="K41" s="17" t="n">
        <v>18.27</v>
      </c>
      <c r="L41" s="15" t="n">
        <v>117</v>
      </c>
      <c r="M41" s="18" t="n">
        <v>0</v>
      </c>
      <c r="N41" s="17" t="n">
        <v>13.29</v>
      </c>
      <c r="O41" s="17" t="n">
        <f aca="false">K41*L41*(1-M41)</f>
        <v>2137.59</v>
      </c>
      <c r="P41" s="17" t="n">
        <f aca="false">N41*L41</f>
        <v>1554.93</v>
      </c>
      <c r="Q41" s="17" t="n">
        <f aca="false">O41-P41</f>
        <v>582.66</v>
      </c>
      <c r="R41" s="15" t="s">
        <v>167</v>
      </c>
      <c r="S41" s="15" t="s">
        <v>47</v>
      </c>
    </row>
    <row r="42" customFormat="false" ht="15" hidden="false" customHeight="true" outlineLevel="0" collapsed="false">
      <c r="A42" s="11" t="s">
        <v>168</v>
      </c>
      <c r="B42" s="12" t="n">
        <v>45334</v>
      </c>
      <c r="C42" s="11" t="s">
        <v>65</v>
      </c>
      <c r="D42" s="11" t="s">
        <v>82</v>
      </c>
      <c r="E42" s="11" t="s">
        <v>83</v>
      </c>
      <c r="F42" s="11" t="s">
        <v>109</v>
      </c>
      <c r="G42" s="11" t="s">
        <v>77</v>
      </c>
      <c r="H42" s="11" t="s">
        <v>84</v>
      </c>
      <c r="I42" s="11" t="s">
        <v>100</v>
      </c>
      <c r="J42" s="11" t="s">
        <v>139</v>
      </c>
      <c r="K42" s="13" t="n">
        <v>803.82</v>
      </c>
      <c r="L42" s="11" t="n">
        <v>4</v>
      </c>
      <c r="M42" s="14" t="n">
        <v>0</v>
      </c>
      <c r="N42" s="13" t="n">
        <v>625.71</v>
      </c>
      <c r="O42" s="13" t="n">
        <f aca="false">K42*L42*(1-M42)</f>
        <v>3215.28</v>
      </c>
      <c r="P42" s="13" t="n">
        <f aca="false">N42*L42</f>
        <v>2502.84</v>
      </c>
      <c r="Q42" s="13" t="n">
        <f aca="false">O42-P42</f>
        <v>712.44</v>
      </c>
      <c r="R42" s="11" t="s">
        <v>63</v>
      </c>
      <c r="S42" s="11" t="s">
        <v>47</v>
      </c>
    </row>
    <row r="43" customFormat="false" ht="15" hidden="false" customHeight="true" outlineLevel="0" collapsed="false">
      <c r="A43" s="15" t="s">
        <v>169</v>
      </c>
      <c r="B43" s="16" t="n">
        <v>45334</v>
      </c>
      <c r="C43" s="15" t="s">
        <v>65</v>
      </c>
      <c r="D43" s="15" t="s">
        <v>149</v>
      </c>
      <c r="E43" s="15" t="s">
        <v>150</v>
      </c>
      <c r="F43" s="15" t="s">
        <v>109</v>
      </c>
      <c r="G43" s="15" t="s">
        <v>77</v>
      </c>
      <c r="H43" s="15" t="s">
        <v>43</v>
      </c>
      <c r="I43" s="15" t="s">
        <v>61</v>
      </c>
      <c r="J43" s="15" t="s">
        <v>62</v>
      </c>
      <c r="K43" s="17" t="n">
        <v>383.04</v>
      </c>
      <c r="L43" s="15" t="n">
        <v>22</v>
      </c>
      <c r="M43" s="18" t="n">
        <v>0.05</v>
      </c>
      <c r="N43" s="17" t="n">
        <v>135.54</v>
      </c>
      <c r="O43" s="17" t="n">
        <f aca="false">K43*L43*(1-M43)</f>
        <v>8005.536</v>
      </c>
      <c r="P43" s="17" t="n">
        <f aca="false">N43*L43</f>
        <v>2981.88</v>
      </c>
      <c r="Q43" s="17" t="n">
        <f aca="false">O43-P43</f>
        <v>5023.656</v>
      </c>
      <c r="R43" s="15" t="s">
        <v>114</v>
      </c>
      <c r="S43" s="15" t="s">
        <v>47</v>
      </c>
    </row>
    <row r="44" customFormat="false" ht="15" hidden="false" customHeight="true" outlineLevel="0" collapsed="false">
      <c r="A44" s="11" t="s">
        <v>170</v>
      </c>
      <c r="B44" s="12" t="n">
        <v>45334</v>
      </c>
      <c r="C44" s="11" t="s">
        <v>74</v>
      </c>
      <c r="D44" s="11" t="s">
        <v>171</v>
      </c>
      <c r="E44" s="11" t="s">
        <v>172</v>
      </c>
      <c r="F44" s="11" t="s">
        <v>135</v>
      </c>
      <c r="G44" s="11" t="s">
        <v>77</v>
      </c>
      <c r="H44" s="11" t="s">
        <v>43</v>
      </c>
      <c r="I44" s="11" t="s">
        <v>44</v>
      </c>
      <c r="J44" s="11" t="s">
        <v>45</v>
      </c>
      <c r="K44" s="13" t="n">
        <v>180.3</v>
      </c>
      <c r="L44" s="11" t="n">
        <v>62</v>
      </c>
      <c r="M44" s="14" t="n">
        <v>0.2</v>
      </c>
      <c r="N44" s="13" t="n">
        <v>51.27</v>
      </c>
      <c r="O44" s="13" t="n">
        <f aca="false">K44*L44*(1-M44)</f>
        <v>8942.88</v>
      </c>
      <c r="P44" s="13" t="n">
        <f aca="false">N44*L44</f>
        <v>3178.74</v>
      </c>
      <c r="Q44" s="13" t="n">
        <f aca="false">O44-P44</f>
        <v>5764.14</v>
      </c>
      <c r="R44" s="11" t="s">
        <v>114</v>
      </c>
      <c r="S44" s="11" t="s">
        <v>47</v>
      </c>
    </row>
    <row r="45" customFormat="false" ht="15" hidden="false" customHeight="true" outlineLevel="0" collapsed="false">
      <c r="A45" s="15" t="s">
        <v>173</v>
      </c>
      <c r="B45" s="16" t="n">
        <v>45334</v>
      </c>
      <c r="C45" s="15" t="s">
        <v>49</v>
      </c>
      <c r="D45" s="15" t="s">
        <v>97</v>
      </c>
      <c r="E45" s="15" t="s">
        <v>98</v>
      </c>
      <c r="F45" s="15" t="s">
        <v>41</v>
      </c>
      <c r="G45" s="15" t="s">
        <v>52</v>
      </c>
      <c r="H45" s="15" t="s">
        <v>43</v>
      </c>
      <c r="I45" s="15" t="s">
        <v>61</v>
      </c>
      <c r="J45" s="15" t="s">
        <v>147</v>
      </c>
      <c r="K45" s="17" t="n">
        <v>324.14</v>
      </c>
      <c r="L45" s="15" t="n">
        <v>23</v>
      </c>
      <c r="M45" s="18" t="n">
        <v>0</v>
      </c>
      <c r="N45" s="17" t="n">
        <v>123.53</v>
      </c>
      <c r="O45" s="17" t="n">
        <f aca="false">K45*L45*(1-M45)</f>
        <v>7455.22</v>
      </c>
      <c r="P45" s="17" t="n">
        <f aca="false">N45*L45</f>
        <v>2841.19</v>
      </c>
      <c r="Q45" s="17" t="n">
        <f aca="false">O45-P45</f>
        <v>4614.03</v>
      </c>
      <c r="R45" s="15" t="s">
        <v>46</v>
      </c>
      <c r="S45" s="15" t="s">
        <v>47</v>
      </c>
    </row>
    <row r="46" customFormat="false" ht="15" hidden="false" customHeight="true" outlineLevel="0" collapsed="false">
      <c r="A46" s="11" t="s">
        <v>174</v>
      </c>
      <c r="B46" s="12" t="n">
        <v>45335</v>
      </c>
      <c r="C46" s="11" t="s">
        <v>49</v>
      </c>
      <c r="D46" s="11" t="s">
        <v>97</v>
      </c>
      <c r="E46" s="11" t="s">
        <v>108</v>
      </c>
      <c r="F46" s="11" t="s">
        <v>41</v>
      </c>
      <c r="G46" s="11" t="s">
        <v>42</v>
      </c>
      <c r="H46" s="11" t="s">
        <v>84</v>
      </c>
      <c r="I46" s="11" t="s">
        <v>85</v>
      </c>
      <c r="J46" s="11" t="s">
        <v>86</v>
      </c>
      <c r="K46" s="13" t="n">
        <v>469.12</v>
      </c>
      <c r="L46" s="11" t="n">
        <v>13</v>
      </c>
      <c r="M46" s="14" t="n">
        <v>0.15</v>
      </c>
      <c r="N46" s="13" t="n">
        <v>350.27</v>
      </c>
      <c r="O46" s="13" t="n">
        <f aca="false">K46*L46*(1-M46)</f>
        <v>5183.776</v>
      </c>
      <c r="P46" s="13" t="n">
        <f aca="false">N46*L46</f>
        <v>4553.51</v>
      </c>
      <c r="Q46" s="13" t="n">
        <f aca="false">O46-P46</f>
        <v>630.266</v>
      </c>
      <c r="R46" s="11" t="s">
        <v>114</v>
      </c>
      <c r="S46" s="11" t="s">
        <v>47</v>
      </c>
    </row>
    <row r="47" customFormat="false" ht="15" hidden="false" customHeight="true" outlineLevel="0" collapsed="false">
      <c r="A47" s="15" t="s">
        <v>175</v>
      </c>
      <c r="B47" s="16" t="n">
        <v>45338</v>
      </c>
      <c r="C47" s="15" t="s">
        <v>49</v>
      </c>
      <c r="D47" s="15" t="s">
        <v>97</v>
      </c>
      <c r="E47" s="15" t="s">
        <v>112</v>
      </c>
      <c r="F47" s="15" t="s">
        <v>123</v>
      </c>
      <c r="G47" s="15" t="s">
        <v>42</v>
      </c>
      <c r="H47" s="15" t="s">
        <v>53</v>
      </c>
      <c r="I47" s="15" t="s">
        <v>54</v>
      </c>
      <c r="J47" s="15" t="s">
        <v>113</v>
      </c>
      <c r="K47" s="17" t="n">
        <v>27.57</v>
      </c>
      <c r="L47" s="15" t="n">
        <v>31</v>
      </c>
      <c r="M47" s="18" t="n">
        <v>0</v>
      </c>
      <c r="N47" s="17" t="n">
        <v>17.31</v>
      </c>
      <c r="O47" s="17" t="n">
        <f aca="false">K47*L47*(1-M47)</f>
        <v>854.67</v>
      </c>
      <c r="P47" s="17" t="n">
        <f aca="false">N47*L47</f>
        <v>536.61</v>
      </c>
      <c r="Q47" s="17" t="n">
        <f aca="false">O47-P47</f>
        <v>318.06</v>
      </c>
      <c r="R47" s="15" t="s">
        <v>46</v>
      </c>
      <c r="S47" s="15" t="s">
        <v>47</v>
      </c>
    </row>
    <row r="48" customFormat="false" ht="15" hidden="false" customHeight="true" outlineLevel="0" collapsed="false">
      <c r="A48" s="11" t="s">
        <v>176</v>
      </c>
      <c r="B48" s="12" t="n">
        <v>45341</v>
      </c>
      <c r="C48" s="11" t="s">
        <v>65</v>
      </c>
      <c r="D48" s="11" t="s">
        <v>66</v>
      </c>
      <c r="E48" s="11" t="s">
        <v>67</v>
      </c>
      <c r="F48" s="11" t="s">
        <v>177</v>
      </c>
      <c r="G48" s="11" t="s">
        <v>126</v>
      </c>
      <c r="H48" s="11" t="s">
        <v>43</v>
      </c>
      <c r="I48" s="11" t="s">
        <v>44</v>
      </c>
      <c r="J48" s="11" t="s">
        <v>106</v>
      </c>
      <c r="K48" s="13" t="n">
        <v>273.14</v>
      </c>
      <c r="L48" s="11" t="n">
        <v>43</v>
      </c>
      <c r="M48" s="14" t="n">
        <v>0.05</v>
      </c>
      <c r="N48" s="13" t="n">
        <v>117.47</v>
      </c>
      <c r="O48" s="13" t="n">
        <f aca="false">K48*L48*(1-M48)</f>
        <v>11157.769</v>
      </c>
      <c r="P48" s="13" t="n">
        <f aca="false">N48*L48</f>
        <v>5051.21</v>
      </c>
      <c r="Q48" s="13" t="n">
        <f aca="false">O48-P48</f>
        <v>6106.559</v>
      </c>
      <c r="R48" s="11" t="s">
        <v>63</v>
      </c>
      <c r="S48" s="11" t="s">
        <v>47</v>
      </c>
    </row>
    <row r="49" customFormat="false" ht="15" hidden="false" customHeight="true" outlineLevel="0" collapsed="false">
      <c r="A49" s="15" t="s">
        <v>178</v>
      </c>
      <c r="B49" s="16" t="n">
        <v>45341</v>
      </c>
      <c r="C49" s="15" t="s">
        <v>65</v>
      </c>
      <c r="D49" s="15" t="s">
        <v>149</v>
      </c>
      <c r="E49" s="15" t="s">
        <v>150</v>
      </c>
      <c r="F49" s="15" t="s">
        <v>177</v>
      </c>
      <c r="G49" s="15" t="s">
        <v>52</v>
      </c>
      <c r="H49" s="15" t="s">
        <v>53</v>
      </c>
      <c r="I49" s="15" t="s">
        <v>69</v>
      </c>
      <c r="J49" s="15" t="s">
        <v>128</v>
      </c>
      <c r="K49" s="17" t="n">
        <v>16.35</v>
      </c>
      <c r="L49" s="15" t="n">
        <v>90</v>
      </c>
      <c r="M49" s="18" t="n">
        <v>0.1</v>
      </c>
      <c r="N49" s="17" t="n">
        <v>11.48</v>
      </c>
      <c r="O49" s="17" t="n">
        <f aca="false">K49*L49*(1-M49)</f>
        <v>1324.35</v>
      </c>
      <c r="P49" s="17" t="n">
        <f aca="false">N49*L49</f>
        <v>1033.2</v>
      </c>
      <c r="Q49" s="17" t="n">
        <f aca="false">O49-P49</f>
        <v>291.15</v>
      </c>
      <c r="R49" s="15" t="s">
        <v>46</v>
      </c>
      <c r="S49" s="15" t="s">
        <v>47</v>
      </c>
    </row>
    <row r="50" customFormat="false" ht="15" hidden="false" customHeight="true" outlineLevel="0" collapsed="false">
      <c r="A50" s="11" t="s">
        <v>179</v>
      </c>
      <c r="B50" s="12" t="n">
        <v>45341</v>
      </c>
      <c r="C50" s="11" t="s">
        <v>74</v>
      </c>
      <c r="D50" s="11" t="s">
        <v>75</v>
      </c>
      <c r="E50" s="11" t="s">
        <v>76</v>
      </c>
      <c r="F50" s="11" t="s">
        <v>51</v>
      </c>
      <c r="G50" s="11" t="s">
        <v>42</v>
      </c>
      <c r="H50" s="11" t="s">
        <v>84</v>
      </c>
      <c r="I50" s="11" t="s">
        <v>85</v>
      </c>
      <c r="J50" s="11" t="s">
        <v>86</v>
      </c>
      <c r="K50" s="13" t="n">
        <v>441.21</v>
      </c>
      <c r="L50" s="11" t="n">
        <v>5</v>
      </c>
      <c r="M50" s="14" t="n">
        <v>0</v>
      </c>
      <c r="N50" s="13" t="n">
        <v>339.14</v>
      </c>
      <c r="O50" s="13" t="n">
        <f aca="false">K50*L50*(1-M50)</f>
        <v>2206.05</v>
      </c>
      <c r="P50" s="13" t="n">
        <f aca="false">N50*L50</f>
        <v>1695.7</v>
      </c>
      <c r="Q50" s="13" t="n">
        <f aca="false">O50-P50</f>
        <v>510.35</v>
      </c>
      <c r="R50" s="11" t="s">
        <v>114</v>
      </c>
      <c r="S50" s="11" t="s">
        <v>47</v>
      </c>
    </row>
    <row r="51" customFormat="false" ht="15" hidden="false" customHeight="true" outlineLevel="0" collapsed="false">
      <c r="A51" s="15" t="s">
        <v>180</v>
      </c>
      <c r="B51" s="16" t="n">
        <v>45342</v>
      </c>
      <c r="C51" s="15" t="s">
        <v>74</v>
      </c>
      <c r="D51" s="15" t="s">
        <v>171</v>
      </c>
      <c r="E51" s="15" t="s">
        <v>172</v>
      </c>
      <c r="F51" s="15" t="s">
        <v>41</v>
      </c>
      <c r="G51" s="15" t="s">
        <v>77</v>
      </c>
      <c r="H51" s="15" t="s">
        <v>84</v>
      </c>
      <c r="I51" s="15" t="s">
        <v>85</v>
      </c>
      <c r="J51" s="15" t="s">
        <v>90</v>
      </c>
      <c r="K51" s="17" t="n">
        <v>803.82</v>
      </c>
      <c r="L51" s="15" t="n">
        <v>19</v>
      </c>
      <c r="M51" s="18" t="n">
        <v>0</v>
      </c>
      <c r="N51" s="17" t="n">
        <v>565.55</v>
      </c>
      <c r="O51" s="17" t="n">
        <f aca="false">K51*L51*(1-M51)</f>
        <v>15272.58</v>
      </c>
      <c r="P51" s="17" t="n">
        <f aca="false">N51*L51</f>
        <v>10745.45</v>
      </c>
      <c r="Q51" s="17" t="n">
        <f aca="false">O51-P51</f>
        <v>4527.13</v>
      </c>
      <c r="R51" s="15" t="s">
        <v>114</v>
      </c>
      <c r="S51" s="15" t="s">
        <v>47</v>
      </c>
    </row>
    <row r="52" customFormat="false" ht="15" hidden="false" customHeight="true" outlineLevel="0" collapsed="false">
      <c r="A52" s="11" t="s">
        <v>181</v>
      </c>
      <c r="B52" s="12" t="n">
        <v>45343</v>
      </c>
      <c r="C52" s="11" t="s">
        <v>65</v>
      </c>
      <c r="D52" s="11" t="s">
        <v>82</v>
      </c>
      <c r="E52" s="11" t="s">
        <v>83</v>
      </c>
      <c r="F52" s="11" t="s">
        <v>60</v>
      </c>
      <c r="G52" s="11" t="s">
        <v>52</v>
      </c>
      <c r="H52" s="11" t="s">
        <v>78</v>
      </c>
      <c r="I52" s="11" t="s">
        <v>120</v>
      </c>
      <c r="J52" s="11" t="s">
        <v>121</v>
      </c>
      <c r="K52" s="13" t="n">
        <v>389.04</v>
      </c>
      <c r="L52" s="11" t="n">
        <v>26</v>
      </c>
      <c r="M52" s="14" t="n">
        <v>0</v>
      </c>
      <c r="N52" s="13" t="n">
        <v>286.87</v>
      </c>
      <c r="O52" s="13" t="n">
        <f aca="false">K52*L52*(1-M52)</f>
        <v>10115.04</v>
      </c>
      <c r="P52" s="13" t="n">
        <f aca="false">N52*L52</f>
        <v>7458.62</v>
      </c>
      <c r="Q52" s="13" t="n">
        <f aca="false">O52-P52</f>
        <v>2656.42</v>
      </c>
      <c r="R52" s="11" t="s">
        <v>63</v>
      </c>
      <c r="S52" s="11" t="s">
        <v>47</v>
      </c>
    </row>
    <row r="53" customFormat="false" ht="15" hidden="false" customHeight="true" outlineLevel="0" collapsed="false">
      <c r="A53" s="15" t="s">
        <v>182</v>
      </c>
      <c r="B53" s="16" t="n">
        <v>45344</v>
      </c>
      <c r="C53" s="15" t="s">
        <v>49</v>
      </c>
      <c r="D53" s="15" t="s">
        <v>97</v>
      </c>
      <c r="E53" s="15" t="s">
        <v>112</v>
      </c>
      <c r="F53" s="15" t="s">
        <v>41</v>
      </c>
      <c r="G53" s="15" t="s">
        <v>130</v>
      </c>
      <c r="H53" s="15" t="s">
        <v>53</v>
      </c>
      <c r="I53" s="15" t="s">
        <v>54</v>
      </c>
      <c r="J53" s="15" t="s">
        <v>113</v>
      </c>
      <c r="K53" s="17" t="n">
        <v>23.32</v>
      </c>
      <c r="L53" s="15" t="n">
        <v>30</v>
      </c>
      <c r="M53" s="18" t="n">
        <v>0</v>
      </c>
      <c r="N53" s="17" t="n">
        <v>16.44</v>
      </c>
      <c r="O53" s="17" t="n">
        <f aca="false">K53*L53*(1-M53)</f>
        <v>699.6</v>
      </c>
      <c r="P53" s="17" t="n">
        <f aca="false">N53*L53</f>
        <v>493.2</v>
      </c>
      <c r="Q53" s="17" t="n">
        <f aca="false">O53-P53</f>
        <v>206.4</v>
      </c>
      <c r="R53" s="15" t="s">
        <v>46</v>
      </c>
      <c r="S53" s="15" t="s">
        <v>47</v>
      </c>
    </row>
    <row r="54" customFormat="false" ht="15" hidden="false" customHeight="true" outlineLevel="0" collapsed="false">
      <c r="A54" s="11" t="s">
        <v>183</v>
      </c>
      <c r="B54" s="12" t="n">
        <v>45344</v>
      </c>
      <c r="C54" s="11" t="s">
        <v>65</v>
      </c>
      <c r="D54" s="11" t="s">
        <v>82</v>
      </c>
      <c r="E54" s="11" t="s">
        <v>83</v>
      </c>
      <c r="F54" s="11" t="s">
        <v>68</v>
      </c>
      <c r="G54" s="11" t="s">
        <v>126</v>
      </c>
      <c r="H54" s="11" t="s">
        <v>43</v>
      </c>
      <c r="I54" s="11" t="s">
        <v>61</v>
      </c>
      <c r="J54" s="11" t="s">
        <v>62</v>
      </c>
      <c r="K54" s="13" t="n">
        <v>306.08</v>
      </c>
      <c r="L54" s="11" t="n">
        <v>13</v>
      </c>
      <c r="M54" s="14" t="n">
        <v>0</v>
      </c>
      <c r="N54" s="13" t="n">
        <v>112.86</v>
      </c>
      <c r="O54" s="13" t="n">
        <f aca="false">K54*L54*(1-M54)</f>
        <v>3979.04</v>
      </c>
      <c r="P54" s="13" t="n">
        <f aca="false">N54*L54</f>
        <v>1467.18</v>
      </c>
      <c r="Q54" s="13" t="n">
        <f aca="false">O54-P54</f>
        <v>2511.86</v>
      </c>
      <c r="R54" s="11" t="s">
        <v>46</v>
      </c>
      <c r="S54" s="11" t="s">
        <v>47</v>
      </c>
    </row>
    <row r="55" customFormat="false" ht="15" hidden="false" customHeight="true" outlineLevel="0" collapsed="false">
      <c r="A55" s="15" t="s">
        <v>184</v>
      </c>
      <c r="B55" s="16" t="n">
        <v>45345</v>
      </c>
      <c r="C55" s="15" t="s">
        <v>65</v>
      </c>
      <c r="D55" s="15" t="s">
        <v>149</v>
      </c>
      <c r="E55" s="15" t="s">
        <v>150</v>
      </c>
      <c r="F55" s="15" t="s">
        <v>68</v>
      </c>
      <c r="G55" s="15" t="s">
        <v>42</v>
      </c>
      <c r="H55" s="15" t="s">
        <v>84</v>
      </c>
      <c r="I55" s="15" t="s">
        <v>85</v>
      </c>
      <c r="J55" s="15" t="s">
        <v>90</v>
      </c>
      <c r="K55" s="17" t="n">
        <v>556.96</v>
      </c>
      <c r="L55" s="15" t="n">
        <v>8</v>
      </c>
      <c r="M55" s="18" t="n">
        <v>0.15</v>
      </c>
      <c r="N55" s="17" t="n">
        <v>392.29</v>
      </c>
      <c r="O55" s="17" t="n">
        <f aca="false">K55*L55*(1-M55)</f>
        <v>3787.328</v>
      </c>
      <c r="P55" s="17" t="n">
        <f aca="false">N55*L55</f>
        <v>3138.32</v>
      </c>
      <c r="Q55" s="17" t="n">
        <f aca="false">O55-P55</f>
        <v>649.008</v>
      </c>
      <c r="R55" s="15" t="s">
        <v>114</v>
      </c>
      <c r="S55" s="15" t="s">
        <v>72</v>
      </c>
    </row>
    <row r="56" customFormat="false" ht="15" hidden="false" customHeight="true" outlineLevel="0" collapsed="false">
      <c r="A56" s="11" t="s">
        <v>185</v>
      </c>
      <c r="B56" s="12" t="n">
        <v>45346</v>
      </c>
      <c r="C56" s="11" t="s">
        <v>49</v>
      </c>
      <c r="D56" s="11" t="s">
        <v>97</v>
      </c>
      <c r="E56" s="11" t="s">
        <v>98</v>
      </c>
      <c r="F56" s="11" t="s">
        <v>99</v>
      </c>
      <c r="G56" s="11" t="s">
        <v>52</v>
      </c>
      <c r="H56" s="11" t="s">
        <v>78</v>
      </c>
      <c r="I56" s="11" t="s">
        <v>154</v>
      </c>
      <c r="J56" s="11" t="s">
        <v>186</v>
      </c>
      <c r="K56" s="13" t="n">
        <v>1166.65</v>
      </c>
      <c r="L56" s="11" t="n">
        <v>9</v>
      </c>
      <c r="M56" s="14" t="n">
        <v>0</v>
      </c>
      <c r="N56" s="13" t="n">
        <v>978.4</v>
      </c>
      <c r="O56" s="13" t="n">
        <f aca="false">K56*L56*(1-M56)</f>
        <v>10499.85</v>
      </c>
      <c r="P56" s="13" t="n">
        <f aca="false">N56*L56</f>
        <v>8805.6</v>
      </c>
      <c r="Q56" s="13" t="n">
        <f aca="false">O56-P56</f>
        <v>1694.25</v>
      </c>
      <c r="R56" s="11" t="s">
        <v>63</v>
      </c>
      <c r="S56" s="11" t="s">
        <v>187</v>
      </c>
    </row>
    <row r="57" customFormat="false" ht="15" hidden="false" customHeight="true" outlineLevel="0" collapsed="false">
      <c r="A57" s="15" t="s">
        <v>188</v>
      </c>
      <c r="B57" s="16" t="n">
        <v>45347</v>
      </c>
      <c r="C57" s="15" t="s">
        <v>49</v>
      </c>
      <c r="D57" s="15" t="s">
        <v>50</v>
      </c>
      <c r="E57" s="15" t="s">
        <v>50</v>
      </c>
      <c r="F57" s="15" t="s">
        <v>60</v>
      </c>
      <c r="G57" s="15" t="s">
        <v>52</v>
      </c>
      <c r="H57" s="15" t="s">
        <v>78</v>
      </c>
      <c r="I57" s="15" t="s">
        <v>143</v>
      </c>
      <c r="J57" s="15" t="s">
        <v>158</v>
      </c>
      <c r="K57" s="17" t="n">
        <v>720.63</v>
      </c>
      <c r="L57" s="15" t="n">
        <v>18</v>
      </c>
      <c r="M57" s="18" t="n">
        <v>0</v>
      </c>
      <c r="N57" s="17" t="n">
        <v>583.56</v>
      </c>
      <c r="O57" s="17" t="n">
        <f aca="false">K57*L57*(1-M57)</f>
        <v>12971.34</v>
      </c>
      <c r="P57" s="17" t="n">
        <f aca="false">N57*L57</f>
        <v>10504.08</v>
      </c>
      <c r="Q57" s="17" t="n">
        <f aca="false">O57-P57</f>
        <v>2467.26</v>
      </c>
      <c r="R57" s="15" t="s">
        <v>167</v>
      </c>
      <c r="S57" s="15" t="s">
        <v>47</v>
      </c>
    </row>
    <row r="58" customFormat="false" ht="15" hidden="false" customHeight="true" outlineLevel="0" collapsed="false">
      <c r="A58" s="11" t="s">
        <v>189</v>
      </c>
      <c r="B58" s="12" t="n">
        <v>45348</v>
      </c>
      <c r="C58" s="11" t="s">
        <v>49</v>
      </c>
      <c r="D58" s="11" t="s">
        <v>152</v>
      </c>
      <c r="E58" s="11" t="s">
        <v>152</v>
      </c>
      <c r="F58" s="11" t="s">
        <v>109</v>
      </c>
      <c r="G58" s="11" t="s">
        <v>130</v>
      </c>
      <c r="H58" s="11" t="s">
        <v>78</v>
      </c>
      <c r="I58" s="11" t="s">
        <v>79</v>
      </c>
      <c r="J58" s="11" t="s">
        <v>80</v>
      </c>
      <c r="K58" s="13" t="n">
        <v>3015.59</v>
      </c>
      <c r="L58" s="11" t="n">
        <v>8</v>
      </c>
      <c r="M58" s="14" t="n">
        <v>0</v>
      </c>
      <c r="N58" s="13" t="n">
        <v>2639.32</v>
      </c>
      <c r="O58" s="13" t="n">
        <f aca="false">K58*L58*(1-M58)</f>
        <v>24124.72</v>
      </c>
      <c r="P58" s="13" t="n">
        <f aca="false">N58*L58</f>
        <v>21114.56</v>
      </c>
      <c r="Q58" s="13" t="n">
        <f aca="false">O58-P58</f>
        <v>3010.16</v>
      </c>
      <c r="R58" s="11" t="s">
        <v>46</v>
      </c>
      <c r="S58" s="11" t="s">
        <v>124</v>
      </c>
    </row>
    <row r="59" customFormat="false" ht="15" hidden="false" customHeight="true" outlineLevel="0" collapsed="false">
      <c r="A59" s="15" t="s">
        <v>190</v>
      </c>
      <c r="B59" s="16" t="n">
        <v>45350</v>
      </c>
      <c r="C59" s="15" t="s">
        <v>49</v>
      </c>
      <c r="D59" s="15" t="s">
        <v>97</v>
      </c>
      <c r="E59" s="15" t="s">
        <v>112</v>
      </c>
      <c r="F59" s="15" t="s">
        <v>41</v>
      </c>
      <c r="G59" s="15" t="s">
        <v>52</v>
      </c>
      <c r="H59" s="15" t="s">
        <v>53</v>
      </c>
      <c r="I59" s="15" t="s">
        <v>54</v>
      </c>
      <c r="J59" s="15" t="s">
        <v>55</v>
      </c>
      <c r="K59" s="17" t="n">
        <v>27.96</v>
      </c>
      <c r="L59" s="15" t="n">
        <v>43</v>
      </c>
      <c r="M59" s="18" t="n">
        <v>0.05</v>
      </c>
      <c r="N59" s="17" t="n">
        <v>18.09</v>
      </c>
      <c r="O59" s="17" t="n">
        <f aca="false">K59*L59*(1-M59)</f>
        <v>1142.166</v>
      </c>
      <c r="P59" s="17" t="n">
        <f aca="false">N59*L59</f>
        <v>777.87</v>
      </c>
      <c r="Q59" s="17" t="n">
        <f aca="false">O59-P59</f>
        <v>364.296</v>
      </c>
      <c r="R59" s="15" t="s">
        <v>46</v>
      </c>
      <c r="S59" s="15" t="s">
        <v>47</v>
      </c>
    </row>
    <row r="60" customFormat="false" ht="15" hidden="false" customHeight="true" outlineLevel="0" collapsed="false">
      <c r="A60" s="11" t="s">
        <v>191</v>
      </c>
      <c r="B60" s="12" t="n">
        <v>45351</v>
      </c>
      <c r="C60" s="11" t="s">
        <v>65</v>
      </c>
      <c r="D60" s="11" t="s">
        <v>149</v>
      </c>
      <c r="E60" s="11" t="s">
        <v>150</v>
      </c>
      <c r="F60" s="11" t="s">
        <v>68</v>
      </c>
      <c r="G60" s="11" t="s">
        <v>77</v>
      </c>
      <c r="H60" s="11" t="s">
        <v>84</v>
      </c>
      <c r="I60" s="11" t="s">
        <v>85</v>
      </c>
      <c r="J60" s="11" t="s">
        <v>90</v>
      </c>
      <c r="K60" s="13" t="n">
        <v>401.63</v>
      </c>
      <c r="L60" s="11" t="n">
        <v>16</v>
      </c>
      <c r="M60" s="14" t="n">
        <v>0.15</v>
      </c>
      <c r="N60" s="13" t="n">
        <v>287.77</v>
      </c>
      <c r="O60" s="13" t="n">
        <f aca="false">K60*L60*(1-M60)</f>
        <v>5462.168</v>
      </c>
      <c r="P60" s="13" t="n">
        <f aca="false">N60*L60</f>
        <v>4604.32</v>
      </c>
      <c r="Q60" s="13" t="n">
        <f aca="false">O60-P60</f>
        <v>857.848</v>
      </c>
      <c r="R60" s="11" t="s">
        <v>63</v>
      </c>
      <c r="S60" s="11" t="s">
        <v>47</v>
      </c>
    </row>
    <row r="61" customFormat="false" ht="15" hidden="false" customHeight="true" outlineLevel="0" collapsed="false">
      <c r="A61" s="15" t="s">
        <v>192</v>
      </c>
      <c r="B61" s="16" t="n">
        <v>45352</v>
      </c>
      <c r="C61" s="15" t="s">
        <v>57</v>
      </c>
      <c r="D61" s="15" t="s">
        <v>162</v>
      </c>
      <c r="E61" s="15" t="s">
        <v>163</v>
      </c>
      <c r="F61" s="15" t="s">
        <v>99</v>
      </c>
      <c r="G61" s="15" t="s">
        <v>126</v>
      </c>
      <c r="H61" s="15" t="s">
        <v>53</v>
      </c>
      <c r="I61" s="15" t="s">
        <v>54</v>
      </c>
      <c r="J61" s="15" t="s">
        <v>55</v>
      </c>
      <c r="K61" s="17" t="n">
        <v>9.36</v>
      </c>
      <c r="L61" s="15" t="n">
        <v>48</v>
      </c>
      <c r="M61" s="18" t="n">
        <v>0</v>
      </c>
      <c r="N61" s="17" t="n">
        <v>6.09</v>
      </c>
      <c r="O61" s="17" t="n">
        <f aca="false">K61*L61*(1-M61)</f>
        <v>449.28</v>
      </c>
      <c r="P61" s="17" t="n">
        <f aca="false">N61*L61</f>
        <v>292.32</v>
      </c>
      <c r="Q61" s="17" t="n">
        <f aca="false">O61-P61</f>
        <v>156.96</v>
      </c>
      <c r="R61" s="15" t="s">
        <v>46</v>
      </c>
      <c r="S61" s="15" t="s">
        <v>47</v>
      </c>
    </row>
    <row r="62" customFormat="false" ht="15" hidden="false" customHeight="true" outlineLevel="0" collapsed="false">
      <c r="A62" s="11" t="s">
        <v>193</v>
      </c>
      <c r="B62" s="12" t="n">
        <v>45352</v>
      </c>
      <c r="C62" s="11" t="s">
        <v>65</v>
      </c>
      <c r="D62" s="11" t="s">
        <v>82</v>
      </c>
      <c r="E62" s="11" t="s">
        <v>83</v>
      </c>
      <c r="F62" s="11" t="s">
        <v>99</v>
      </c>
      <c r="G62" s="11" t="s">
        <v>52</v>
      </c>
      <c r="H62" s="11" t="s">
        <v>78</v>
      </c>
      <c r="I62" s="11" t="s">
        <v>79</v>
      </c>
      <c r="J62" s="11" t="s">
        <v>80</v>
      </c>
      <c r="K62" s="13" t="n">
        <v>4173.48</v>
      </c>
      <c r="L62" s="11" t="n">
        <v>7</v>
      </c>
      <c r="M62" s="14" t="n">
        <v>0.05</v>
      </c>
      <c r="N62" s="13" t="n">
        <v>3543.26</v>
      </c>
      <c r="O62" s="13" t="n">
        <f aca="false">K62*L62*(1-M62)</f>
        <v>27753.642</v>
      </c>
      <c r="P62" s="13" t="n">
        <f aca="false">N62*L62</f>
        <v>24802.82</v>
      </c>
      <c r="Q62" s="13" t="n">
        <f aca="false">O62-P62</f>
        <v>2950.822</v>
      </c>
      <c r="R62" s="11" t="s">
        <v>46</v>
      </c>
      <c r="S62" s="11" t="s">
        <v>47</v>
      </c>
    </row>
    <row r="63" customFormat="false" ht="15" hidden="false" customHeight="true" outlineLevel="0" collapsed="false">
      <c r="A63" s="15" t="s">
        <v>194</v>
      </c>
      <c r="B63" s="16" t="n">
        <v>45352</v>
      </c>
      <c r="C63" s="15" t="s">
        <v>49</v>
      </c>
      <c r="D63" s="15" t="s">
        <v>97</v>
      </c>
      <c r="E63" s="15" t="s">
        <v>108</v>
      </c>
      <c r="F63" s="15" t="s">
        <v>177</v>
      </c>
      <c r="G63" s="15" t="s">
        <v>52</v>
      </c>
      <c r="H63" s="15" t="s">
        <v>78</v>
      </c>
      <c r="I63" s="15" t="s">
        <v>154</v>
      </c>
      <c r="J63" s="15" t="s">
        <v>186</v>
      </c>
      <c r="K63" s="17" t="n">
        <v>1056.03</v>
      </c>
      <c r="L63" s="15" t="n">
        <v>19</v>
      </c>
      <c r="M63" s="18" t="n">
        <v>0.05</v>
      </c>
      <c r="N63" s="17" t="n">
        <v>896.3</v>
      </c>
      <c r="O63" s="17" t="n">
        <f aca="false">K63*L63*(1-M63)</f>
        <v>19061.3415</v>
      </c>
      <c r="P63" s="17" t="n">
        <f aca="false">N63*L63</f>
        <v>17029.7</v>
      </c>
      <c r="Q63" s="17" t="n">
        <f aca="false">O63-P63</f>
        <v>2031.6415</v>
      </c>
      <c r="R63" s="15" t="s">
        <v>71</v>
      </c>
      <c r="S63" s="15" t="s">
        <v>47</v>
      </c>
    </row>
    <row r="64" customFormat="false" ht="15" hidden="false" customHeight="true" outlineLevel="0" collapsed="false">
      <c r="A64" s="11" t="s">
        <v>195</v>
      </c>
      <c r="B64" s="12" t="n">
        <v>45353</v>
      </c>
      <c r="C64" s="11" t="s">
        <v>49</v>
      </c>
      <c r="D64" s="11" t="s">
        <v>50</v>
      </c>
      <c r="E64" s="11" t="s">
        <v>50</v>
      </c>
      <c r="F64" s="11" t="s">
        <v>41</v>
      </c>
      <c r="G64" s="11" t="s">
        <v>42</v>
      </c>
      <c r="H64" s="11" t="s">
        <v>53</v>
      </c>
      <c r="I64" s="11" t="s">
        <v>94</v>
      </c>
      <c r="J64" s="11" t="s">
        <v>131</v>
      </c>
      <c r="K64" s="13" t="n">
        <v>53.11</v>
      </c>
      <c r="L64" s="11" t="n">
        <v>69</v>
      </c>
      <c r="M64" s="14" t="n">
        <v>0.05</v>
      </c>
      <c r="N64" s="13" t="n">
        <v>32.7</v>
      </c>
      <c r="O64" s="13" t="n">
        <f aca="false">K64*L64*(1-M64)</f>
        <v>3481.3605</v>
      </c>
      <c r="P64" s="13" t="n">
        <f aca="false">N64*L64</f>
        <v>2256.3</v>
      </c>
      <c r="Q64" s="13" t="n">
        <f aca="false">O64-P64</f>
        <v>1225.0605</v>
      </c>
      <c r="R64" s="11" t="s">
        <v>63</v>
      </c>
      <c r="S64" s="11" t="s">
        <v>72</v>
      </c>
    </row>
    <row r="65" customFormat="false" ht="15" hidden="false" customHeight="true" outlineLevel="0" collapsed="false">
      <c r="A65" s="15" t="s">
        <v>196</v>
      </c>
      <c r="B65" s="16" t="n">
        <v>45353</v>
      </c>
      <c r="C65" s="15" t="s">
        <v>49</v>
      </c>
      <c r="D65" s="15" t="s">
        <v>50</v>
      </c>
      <c r="E65" s="15" t="s">
        <v>50</v>
      </c>
      <c r="F65" s="15" t="s">
        <v>68</v>
      </c>
      <c r="G65" s="15" t="s">
        <v>52</v>
      </c>
      <c r="H65" s="15" t="s">
        <v>78</v>
      </c>
      <c r="I65" s="15" t="s">
        <v>154</v>
      </c>
      <c r="J65" s="15" t="s">
        <v>155</v>
      </c>
      <c r="K65" s="17" t="n">
        <v>771.93</v>
      </c>
      <c r="L65" s="15" t="n">
        <v>1</v>
      </c>
      <c r="M65" s="18" t="n">
        <v>0.1</v>
      </c>
      <c r="N65" s="17" t="n">
        <v>624.22</v>
      </c>
      <c r="O65" s="17" t="n">
        <f aca="false">K65*L65*(1-M65)</f>
        <v>694.737</v>
      </c>
      <c r="P65" s="17" t="n">
        <f aca="false">N65*L65</f>
        <v>624.22</v>
      </c>
      <c r="Q65" s="17" t="n">
        <f aca="false">O65-P65</f>
        <v>70.5169999999999</v>
      </c>
      <c r="R65" s="15" t="s">
        <v>46</v>
      </c>
      <c r="S65" s="15" t="s">
        <v>187</v>
      </c>
    </row>
    <row r="66" customFormat="false" ht="15" hidden="false" customHeight="true" outlineLevel="0" collapsed="false">
      <c r="A66" s="11" t="s">
        <v>197</v>
      </c>
      <c r="B66" s="12" t="n">
        <v>45353</v>
      </c>
      <c r="C66" s="11" t="s">
        <v>49</v>
      </c>
      <c r="D66" s="11" t="s">
        <v>97</v>
      </c>
      <c r="E66" s="11" t="s">
        <v>98</v>
      </c>
      <c r="F66" s="11" t="s">
        <v>109</v>
      </c>
      <c r="G66" s="11" t="s">
        <v>52</v>
      </c>
      <c r="H66" s="11" t="s">
        <v>84</v>
      </c>
      <c r="I66" s="11" t="s">
        <v>100</v>
      </c>
      <c r="J66" s="11" t="s">
        <v>139</v>
      </c>
      <c r="K66" s="13" t="n">
        <v>925.88</v>
      </c>
      <c r="L66" s="11" t="n">
        <v>8</v>
      </c>
      <c r="M66" s="14" t="n">
        <v>0.1</v>
      </c>
      <c r="N66" s="13" t="n">
        <v>678.42</v>
      </c>
      <c r="O66" s="13" t="n">
        <f aca="false">K66*L66*(1-M66)</f>
        <v>6666.336</v>
      </c>
      <c r="P66" s="13" t="n">
        <f aca="false">N66*L66</f>
        <v>5427.36</v>
      </c>
      <c r="Q66" s="13" t="n">
        <f aca="false">O66-P66</f>
        <v>1238.976</v>
      </c>
      <c r="R66" s="11" t="s">
        <v>63</v>
      </c>
      <c r="S66" s="11" t="s">
        <v>47</v>
      </c>
    </row>
    <row r="67" customFormat="false" ht="15" hidden="false" customHeight="true" outlineLevel="0" collapsed="false">
      <c r="A67" s="15" t="s">
        <v>198</v>
      </c>
      <c r="B67" s="16" t="n">
        <v>45355</v>
      </c>
      <c r="C67" s="15" t="s">
        <v>57</v>
      </c>
      <c r="D67" s="15" t="s">
        <v>58</v>
      </c>
      <c r="E67" s="15" t="s">
        <v>59</v>
      </c>
      <c r="F67" s="15" t="s">
        <v>68</v>
      </c>
      <c r="G67" s="15" t="s">
        <v>42</v>
      </c>
      <c r="H67" s="15" t="s">
        <v>78</v>
      </c>
      <c r="I67" s="15" t="s">
        <v>143</v>
      </c>
      <c r="J67" s="15" t="s">
        <v>144</v>
      </c>
      <c r="K67" s="17" t="n">
        <v>1793.69</v>
      </c>
      <c r="L67" s="15" t="n">
        <v>17</v>
      </c>
      <c r="M67" s="18" t="n">
        <v>0.05</v>
      </c>
      <c r="N67" s="17" t="n">
        <v>1421.86</v>
      </c>
      <c r="O67" s="17" t="n">
        <f aca="false">K67*L67*(1-M67)</f>
        <v>28968.0935</v>
      </c>
      <c r="P67" s="17" t="n">
        <f aca="false">N67*L67</f>
        <v>24171.62</v>
      </c>
      <c r="Q67" s="17" t="n">
        <f aca="false">O67-P67</f>
        <v>4796.4735</v>
      </c>
      <c r="R67" s="15" t="s">
        <v>46</v>
      </c>
      <c r="S67" s="15" t="s">
        <v>47</v>
      </c>
    </row>
    <row r="68" customFormat="false" ht="15" hidden="false" customHeight="true" outlineLevel="0" collapsed="false">
      <c r="A68" s="11" t="s">
        <v>199</v>
      </c>
      <c r="B68" s="12" t="n">
        <v>45355</v>
      </c>
      <c r="C68" s="11" t="s">
        <v>65</v>
      </c>
      <c r="D68" s="11" t="s">
        <v>82</v>
      </c>
      <c r="E68" s="11" t="s">
        <v>83</v>
      </c>
      <c r="F68" s="11" t="s">
        <v>60</v>
      </c>
      <c r="G68" s="11" t="s">
        <v>42</v>
      </c>
      <c r="H68" s="11" t="s">
        <v>78</v>
      </c>
      <c r="I68" s="11" t="s">
        <v>143</v>
      </c>
      <c r="J68" s="11" t="s">
        <v>144</v>
      </c>
      <c r="K68" s="13" t="n">
        <v>1738.49</v>
      </c>
      <c r="L68" s="11" t="n">
        <v>11</v>
      </c>
      <c r="M68" s="14" t="n">
        <v>0.05</v>
      </c>
      <c r="N68" s="13" t="n">
        <v>1450.02</v>
      </c>
      <c r="O68" s="13" t="n">
        <f aca="false">K68*L68*(1-M68)</f>
        <v>18167.2205</v>
      </c>
      <c r="P68" s="13" t="n">
        <f aca="false">N68*L68</f>
        <v>15950.22</v>
      </c>
      <c r="Q68" s="13" t="n">
        <f aca="false">O68-P68</f>
        <v>2217.0005</v>
      </c>
      <c r="R68" s="11" t="s">
        <v>167</v>
      </c>
      <c r="S68" s="11" t="s">
        <v>47</v>
      </c>
    </row>
    <row r="69" customFormat="false" ht="15" hidden="false" customHeight="true" outlineLevel="0" collapsed="false">
      <c r="A69" s="15" t="s">
        <v>200</v>
      </c>
      <c r="B69" s="16" t="n">
        <v>45355</v>
      </c>
      <c r="C69" s="15" t="s">
        <v>49</v>
      </c>
      <c r="D69" s="15" t="s">
        <v>152</v>
      </c>
      <c r="E69" s="15" t="s">
        <v>152</v>
      </c>
      <c r="F69" s="15" t="s">
        <v>109</v>
      </c>
      <c r="G69" s="15" t="s">
        <v>42</v>
      </c>
      <c r="H69" s="15" t="s">
        <v>53</v>
      </c>
      <c r="I69" s="15" t="s">
        <v>54</v>
      </c>
      <c r="J69" s="15" t="s">
        <v>55</v>
      </c>
      <c r="K69" s="17" t="n">
        <v>18.4</v>
      </c>
      <c r="L69" s="15" t="n">
        <v>164</v>
      </c>
      <c r="M69" s="18" t="n">
        <v>0.05</v>
      </c>
      <c r="N69" s="17" t="n">
        <v>10.95</v>
      </c>
      <c r="O69" s="17" t="n">
        <f aca="false">K69*L69*(1-M69)</f>
        <v>2866.72</v>
      </c>
      <c r="P69" s="17" t="n">
        <f aca="false">N69*L69</f>
        <v>1795.8</v>
      </c>
      <c r="Q69" s="17" t="n">
        <f aca="false">O69-P69</f>
        <v>1070.92</v>
      </c>
      <c r="R69" s="15" t="s">
        <v>46</v>
      </c>
      <c r="S69" s="15" t="s">
        <v>72</v>
      </c>
    </row>
    <row r="70" customFormat="false" ht="15" hidden="false" customHeight="true" outlineLevel="0" collapsed="false">
      <c r="A70" s="11" t="s">
        <v>201</v>
      </c>
      <c r="B70" s="12" t="n">
        <v>45356</v>
      </c>
      <c r="C70" s="11" t="s">
        <v>38</v>
      </c>
      <c r="D70" s="11" t="s">
        <v>88</v>
      </c>
      <c r="E70" s="11" t="s">
        <v>89</v>
      </c>
      <c r="F70" s="11" t="s">
        <v>51</v>
      </c>
      <c r="G70" s="11" t="s">
        <v>42</v>
      </c>
      <c r="H70" s="11" t="s">
        <v>78</v>
      </c>
      <c r="I70" s="11" t="s">
        <v>79</v>
      </c>
      <c r="J70" s="11" t="s">
        <v>80</v>
      </c>
      <c r="K70" s="13" t="n">
        <v>3738.98</v>
      </c>
      <c r="L70" s="11" t="n">
        <v>8</v>
      </c>
      <c r="M70" s="14" t="n">
        <v>0.05</v>
      </c>
      <c r="N70" s="13" t="n">
        <v>3182.35</v>
      </c>
      <c r="O70" s="13" t="n">
        <f aca="false">K70*L70*(1-M70)</f>
        <v>28416.248</v>
      </c>
      <c r="P70" s="13" t="n">
        <f aca="false">N70*L70</f>
        <v>25458.8</v>
      </c>
      <c r="Q70" s="13" t="n">
        <f aca="false">O70-P70</f>
        <v>2957.448</v>
      </c>
      <c r="R70" s="11" t="s">
        <v>63</v>
      </c>
      <c r="S70" s="11" t="s">
        <v>47</v>
      </c>
    </row>
    <row r="71" customFormat="false" ht="15" hidden="false" customHeight="true" outlineLevel="0" collapsed="false">
      <c r="A71" s="15" t="s">
        <v>202</v>
      </c>
      <c r="B71" s="16" t="n">
        <v>45358</v>
      </c>
      <c r="C71" s="15" t="s">
        <v>57</v>
      </c>
      <c r="D71" s="15" t="s">
        <v>58</v>
      </c>
      <c r="E71" s="15" t="s">
        <v>59</v>
      </c>
      <c r="F71" s="15" t="s">
        <v>118</v>
      </c>
      <c r="G71" s="15" t="s">
        <v>42</v>
      </c>
      <c r="H71" s="15" t="s">
        <v>53</v>
      </c>
      <c r="I71" s="15" t="s">
        <v>94</v>
      </c>
      <c r="J71" s="15" t="s">
        <v>131</v>
      </c>
      <c r="K71" s="17" t="n">
        <v>45.9</v>
      </c>
      <c r="L71" s="15" t="n">
        <v>59</v>
      </c>
      <c r="M71" s="18" t="n">
        <v>0</v>
      </c>
      <c r="N71" s="17" t="n">
        <v>27</v>
      </c>
      <c r="O71" s="17" t="n">
        <f aca="false">K71*L71*(1-M71)</f>
        <v>2708.1</v>
      </c>
      <c r="P71" s="17" t="n">
        <f aca="false">N71*L71</f>
        <v>1593</v>
      </c>
      <c r="Q71" s="17" t="n">
        <f aca="false">O71-P71</f>
        <v>1115.1</v>
      </c>
      <c r="R71" s="15" t="s">
        <v>46</v>
      </c>
      <c r="S71" s="15" t="s">
        <v>47</v>
      </c>
    </row>
    <row r="72" customFormat="false" ht="15" hidden="false" customHeight="true" outlineLevel="0" collapsed="false">
      <c r="A72" s="11" t="s">
        <v>203</v>
      </c>
      <c r="B72" s="12" t="n">
        <v>45358</v>
      </c>
      <c r="C72" s="11" t="s">
        <v>57</v>
      </c>
      <c r="D72" s="11" t="s">
        <v>162</v>
      </c>
      <c r="E72" s="11" t="s">
        <v>163</v>
      </c>
      <c r="F72" s="11" t="s">
        <v>177</v>
      </c>
      <c r="G72" s="11" t="s">
        <v>52</v>
      </c>
      <c r="H72" s="11" t="s">
        <v>53</v>
      </c>
      <c r="I72" s="11" t="s">
        <v>54</v>
      </c>
      <c r="J72" s="11" t="s">
        <v>113</v>
      </c>
      <c r="K72" s="13" t="n">
        <v>10.64</v>
      </c>
      <c r="L72" s="11" t="n">
        <v>94</v>
      </c>
      <c r="M72" s="14" t="n">
        <v>0.05</v>
      </c>
      <c r="N72" s="13" t="n">
        <v>7.21</v>
      </c>
      <c r="O72" s="13" t="n">
        <f aca="false">K72*L72*(1-M72)</f>
        <v>950.152</v>
      </c>
      <c r="P72" s="13" t="n">
        <f aca="false">N72*L72</f>
        <v>677.74</v>
      </c>
      <c r="Q72" s="13" t="n">
        <f aca="false">O72-P72</f>
        <v>272.412</v>
      </c>
      <c r="R72" s="11" t="s">
        <v>167</v>
      </c>
      <c r="S72" s="11" t="s">
        <v>47</v>
      </c>
    </row>
    <row r="73" customFormat="false" ht="15" hidden="false" customHeight="true" outlineLevel="0" collapsed="false">
      <c r="A73" s="15" t="s">
        <v>204</v>
      </c>
      <c r="B73" s="16" t="n">
        <v>45360</v>
      </c>
      <c r="C73" s="15" t="s">
        <v>49</v>
      </c>
      <c r="D73" s="15" t="s">
        <v>152</v>
      </c>
      <c r="E73" s="15" t="s">
        <v>152</v>
      </c>
      <c r="F73" s="15" t="s">
        <v>68</v>
      </c>
      <c r="G73" s="15" t="s">
        <v>77</v>
      </c>
      <c r="H73" s="15" t="s">
        <v>53</v>
      </c>
      <c r="I73" s="15" t="s">
        <v>69</v>
      </c>
      <c r="J73" s="15" t="s">
        <v>128</v>
      </c>
      <c r="K73" s="17" t="n">
        <v>16.69</v>
      </c>
      <c r="L73" s="15" t="n">
        <v>153</v>
      </c>
      <c r="M73" s="18" t="n">
        <v>0.05</v>
      </c>
      <c r="N73" s="17" t="n">
        <v>11.69</v>
      </c>
      <c r="O73" s="17" t="n">
        <f aca="false">K73*L73*(1-M73)</f>
        <v>2425.8915</v>
      </c>
      <c r="P73" s="17" t="n">
        <f aca="false">N73*L73</f>
        <v>1788.57</v>
      </c>
      <c r="Q73" s="17" t="n">
        <f aca="false">O73-P73</f>
        <v>637.3215</v>
      </c>
      <c r="R73" s="15" t="s">
        <v>63</v>
      </c>
      <c r="S73" s="15" t="s">
        <v>72</v>
      </c>
    </row>
    <row r="74" customFormat="false" ht="15" hidden="false" customHeight="true" outlineLevel="0" collapsed="false">
      <c r="A74" s="11" t="s">
        <v>205</v>
      </c>
      <c r="B74" s="12" t="n">
        <v>45360</v>
      </c>
      <c r="C74" s="11" t="s">
        <v>74</v>
      </c>
      <c r="D74" s="11" t="s">
        <v>75</v>
      </c>
      <c r="E74" s="11" t="s">
        <v>76</v>
      </c>
      <c r="F74" s="11" t="s">
        <v>123</v>
      </c>
      <c r="G74" s="11" t="s">
        <v>77</v>
      </c>
      <c r="H74" s="11" t="s">
        <v>78</v>
      </c>
      <c r="I74" s="11" t="s">
        <v>154</v>
      </c>
      <c r="J74" s="11" t="s">
        <v>155</v>
      </c>
      <c r="K74" s="13" t="n">
        <v>606.12</v>
      </c>
      <c r="L74" s="11" t="n">
        <v>7</v>
      </c>
      <c r="M74" s="14" t="n">
        <v>0</v>
      </c>
      <c r="N74" s="13" t="n">
        <v>502.8</v>
      </c>
      <c r="O74" s="13" t="n">
        <f aca="false">K74*L74*(1-M74)</f>
        <v>4242.84</v>
      </c>
      <c r="P74" s="13" t="n">
        <f aca="false">N74*L74</f>
        <v>3519.6</v>
      </c>
      <c r="Q74" s="13" t="n">
        <f aca="false">O74-P74</f>
        <v>723.24</v>
      </c>
      <c r="R74" s="11" t="s">
        <v>71</v>
      </c>
      <c r="S74" s="11" t="s">
        <v>47</v>
      </c>
    </row>
    <row r="75" customFormat="false" ht="15" hidden="false" customHeight="true" outlineLevel="0" collapsed="false">
      <c r="A75" s="15" t="s">
        <v>206</v>
      </c>
      <c r="B75" s="16" t="n">
        <v>45361</v>
      </c>
      <c r="C75" s="15" t="s">
        <v>49</v>
      </c>
      <c r="D75" s="15" t="s">
        <v>97</v>
      </c>
      <c r="E75" s="15" t="s">
        <v>108</v>
      </c>
      <c r="F75" s="15" t="s">
        <v>109</v>
      </c>
      <c r="G75" s="15" t="s">
        <v>42</v>
      </c>
      <c r="H75" s="15" t="s">
        <v>53</v>
      </c>
      <c r="I75" s="15" t="s">
        <v>54</v>
      </c>
      <c r="J75" s="15" t="s">
        <v>113</v>
      </c>
      <c r="K75" s="17" t="n">
        <v>18.47</v>
      </c>
      <c r="L75" s="15" t="n">
        <v>110</v>
      </c>
      <c r="M75" s="18" t="n">
        <v>0</v>
      </c>
      <c r="N75" s="17" t="n">
        <v>12.1</v>
      </c>
      <c r="O75" s="17" t="n">
        <f aca="false">K75*L75*(1-M75)</f>
        <v>2031.7</v>
      </c>
      <c r="P75" s="17" t="n">
        <f aca="false">N75*L75</f>
        <v>1331</v>
      </c>
      <c r="Q75" s="17" t="n">
        <f aca="false">O75-P75</f>
        <v>700.7</v>
      </c>
      <c r="R75" s="15" t="s">
        <v>63</v>
      </c>
      <c r="S75" s="15" t="s">
        <v>47</v>
      </c>
    </row>
    <row r="76" customFormat="false" ht="15" hidden="false" customHeight="true" outlineLevel="0" collapsed="false">
      <c r="A76" s="11" t="s">
        <v>207</v>
      </c>
      <c r="B76" s="12" t="n">
        <v>45363</v>
      </c>
      <c r="C76" s="11" t="s">
        <v>49</v>
      </c>
      <c r="D76" s="11" t="s">
        <v>152</v>
      </c>
      <c r="E76" s="11" t="s">
        <v>152</v>
      </c>
      <c r="F76" s="11" t="s">
        <v>68</v>
      </c>
      <c r="G76" s="11" t="s">
        <v>42</v>
      </c>
      <c r="H76" s="11" t="s">
        <v>43</v>
      </c>
      <c r="I76" s="11" t="s">
        <v>61</v>
      </c>
      <c r="J76" s="11" t="s">
        <v>62</v>
      </c>
      <c r="K76" s="13" t="n">
        <v>437.28</v>
      </c>
      <c r="L76" s="11" t="n">
        <v>26</v>
      </c>
      <c r="M76" s="14" t="n">
        <v>0</v>
      </c>
      <c r="N76" s="13" t="n">
        <v>200.94</v>
      </c>
      <c r="O76" s="13" t="n">
        <f aca="false">K76*L76*(1-M76)</f>
        <v>11369.28</v>
      </c>
      <c r="P76" s="13" t="n">
        <f aca="false">N76*L76</f>
        <v>5224.44</v>
      </c>
      <c r="Q76" s="13" t="n">
        <f aca="false">O76-P76</f>
        <v>6144.84</v>
      </c>
      <c r="R76" s="11" t="s">
        <v>114</v>
      </c>
      <c r="S76" s="11" t="s">
        <v>47</v>
      </c>
    </row>
    <row r="77" customFormat="false" ht="15" hidden="false" customHeight="true" outlineLevel="0" collapsed="false">
      <c r="A77" s="15" t="s">
        <v>208</v>
      </c>
      <c r="B77" s="16" t="n">
        <v>45363</v>
      </c>
      <c r="C77" s="15" t="s">
        <v>57</v>
      </c>
      <c r="D77" s="15" t="s">
        <v>162</v>
      </c>
      <c r="E77" s="15" t="s">
        <v>163</v>
      </c>
      <c r="F77" s="15" t="s">
        <v>177</v>
      </c>
      <c r="G77" s="15" t="s">
        <v>126</v>
      </c>
      <c r="H77" s="15" t="s">
        <v>78</v>
      </c>
      <c r="I77" s="15" t="s">
        <v>143</v>
      </c>
      <c r="J77" s="15" t="s">
        <v>158</v>
      </c>
      <c r="K77" s="17" t="n">
        <v>895.99</v>
      </c>
      <c r="L77" s="15" t="n">
        <v>5</v>
      </c>
      <c r="M77" s="18" t="n">
        <v>0</v>
      </c>
      <c r="N77" s="17" t="n">
        <v>709.14</v>
      </c>
      <c r="O77" s="17" t="n">
        <f aca="false">K77*L77*(1-M77)</f>
        <v>4479.95</v>
      </c>
      <c r="P77" s="17" t="n">
        <f aca="false">N77*L77</f>
        <v>3545.7</v>
      </c>
      <c r="Q77" s="17" t="n">
        <f aca="false">O77-P77</f>
        <v>934.25</v>
      </c>
      <c r="R77" s="15" t="s">
        <v>167</v>
      </c>
      <c r="S77" s="15" t="s">
        <v>47</v>
      </c>
    </row>
    <row r="78" customFormat="false" ht="15" hidden="false" customHeight="true" outlineLevel="0" collapsed="false">
      <c r="A78" s="11" t="s">
        <v>209</v>
      </c>
      <c r="B78" s="12" t="n">
        <v>45364</v>
      </c>
      <c r="C78" s="11" t="s">
        <v>38</v>
      </c>
      <c r="D78" s="11" t="s">
        <v>88</v>
      </c>
      <c r="E78" s="11" t="s">
        <v>89</v>
      </c>
      <c r="F78" s="11" t="s">
        <v>99</v>
      </c>
      <c r="G78" s="11" t="s">
        <v>52</v>
      </c>
      <c r="H78" s="11" t="s">
        <v>84</v>
      </c>
      <c r="I78" s="11" t="s">
        <v>85</v>
      </c>
      <c r="J78" s="11" t="s">
        <v>90</v>
      </c>
      <c r="K78" s="13" t="n">
        <v>718.09</v>
      </c>
      <c r="L78" s="11" t="n">
        <v>3</v>
      </c>
      <c r="M78" s="14" t="n">
        <v>0.05</v>
      </c>
      <c r="N78" s="13" t="n">
        <v>526.77</v>
      </c>
      <c r="O78" s="13" t="n">
        <f aca="false">K78*L78*(1-M78)</f>
        <v>2046.5565</v>
      </c>
      <c r="P78" s="13" t="n">
        <f aca="false">N78*L78</f>
        <v>1580.31</v>
      </c>
      <c r="Q78" s="13" t="n">
        <f aca="false">O78-P78</f>
        <v>466.2465</v>
      </c>
      <c r="R78" s="11" t="s">
        <v>71</v>
      </c>
      <c r="S78" s="11" t="s">
        <v>47</v>
      </c>
    </row>
    <row r="79" customFormat="false" ht="15" hidden="false" customHeight="true" outlineLevel="0" collapsed="false">
      <c r="A79" s="15" t="s">
        <v>210</v>
      </c>
      <c r="B79" s="16" t="n">
        <v>45364</v>
      </c>
      <c r="C79" s="15" t="s">
        <v>49</v>
      </c>
      <c r="D79" s="15" t="s">
        <v>97</v>
      </c>
      <c r="E79" s="15" t="s">
        <v>108</v>
      </c>
      <c r="F79" s="15" t="s">
        <v>109</v>
      </c>
      <c r="G79" s="15" t="s">
        <v>130</v>
      </c>
      <c r="H79" s="15" t="s">
        <v>78</v>
      </c>
      <c r="I79" s="15" t="s">
        <v>120</v>
      </c>
      <c r="J79" s="15" t="s">
        <v>121</v>
      </c>
      <c r="K79" s="17" t="n">
        <v>365.1</v>
      </c>
      <c r="L79" s="15" t="n">
        <v>47</v>
      </c>
      <c r="M79" s="18" t="n">
        <v>0.05</v>
      </c>
      <c r="N79" s="17" t="n">
        <v>276.98</v>
      </c>
      <c r="O79" s="17" t="n">
        <f aca="false">K79*L79*(1-M79)</f>
        <v>16301.715</v>
      </c>
      <c r="P79" s="17" t="n">
        <f aca="false">N79*L79</f>
        <v>13018.06</v>
      </c>
      <c r="Q79" s="17" t="n">
        <f aca="false">O79-P79</f>
        <v>3283.655</v>
      </c>
      <c r="R79" s="15" t="s">
        <v>114</v>
      </c>
      <c r="S79" s="15" t="s">
        <v>47</v>
      </c>
    </row>
    <row r="80" customFormat="false" ht="15" hidden="false" customHeight="true" outlineLevel="0" collapsed="false">
      <c r="A80" s="11" t="s">
        <v>211</v>
      </c>
      <c r="B80" s="12" t="n">
        <v>45364</v>
      </c>
      <c r="C80" s="11" t="s">
        <v>49</v>
      </c>
      <c r="D80" s="11" t="s">
        <v>50</v>
      </c>
      <c r="E80" s="11" t="s">
        <v>50</v>
      </c>
      <c r="F80" s="11" t="s">
        <v>41</v>
      </c>
      <c r="G80" s="11" t="s">
        <v>52</v>
      </c>
      <c r="H80" s="11" t="s">
        <v>53</v>
      </c>
      <c r="I80" s="11" t="s">
        <v>69</v>
      </c>
      <c r="J80" s="11" t="s">
        <v>70</v>
      </c>
      <c r="K80" s="13" t="n">
        <v>22.27</v>
      </c>
      <c r="L80" s="11" t="n">
        <v>82</v>
      </c>
      <c r="M80" s="14" t="n">
        <v>0.15</v>
      </c>
      <c r="N80" s="13" t="n">
        <v>14.48</v>
      </c>
      <c r="O80" s="13" t="n">
        <f aca="false">K80*L80*(1-M80)</f>
        <v>1552.219</v>
      </c>
      <c r="P80" s="13" t="n">
        <f aca="false">N80*L80</f>
        <v>1187.36</v>
      </c>
      <c r="Q80" s="13" t="n">
        <f aca="false">O80-P80</f>
        <v>364.859</v>
      </c>
      <c r="R80" s="11" t="s">
        <v>114</v>
      </c>
      <c r="S80" s="11" t="s">
        <v>47</v>
      </c>
    </row>
    <row r="81" customFormat="false" ht="15" hidden="false" customHeight="true" outlineLevel="0" collapsed="false">
      <c r="A81" s="15" t="s">
        <v>212</v>
      </c>
      <c r="B81" s="16" t="n">
        <v>45364</v>
      </c>
      <c r="C81" s="15" t="s">
        <v>74</v>
      </c>
      <c r="D81" s="15" t="s">
        <v>171</v>
      </c>
      <c r="E81" s="15" t="s">
        <v>172</v>
      </c>
      <c r="F81" s="15" t="s">
        <v>118</v>
      </c>
      <c r="G81" s="15" t="s">
        <v>77</v>
      </c>
      <c r="H81" s="15" t="s">
        <v>53</v>
      </c>
      <c r="I81" s="15" t="s">
        <v>69</v>
      </c>
      <c r="J81" s="15" t="s">
        <v>70</v>
      </c>
      <c r="K81" s="17" t="n">
        <v>27.77</v>
      </c>
      <c r="L81" s="15" t="n">
        <v>23</v>
      </c>
      <c r="M81" s="18" t="n">
        <v>0</v>
      </c>
      <c r="N81" s="17" t="n">
        <v>18.55</v>
      </c>
      <c r="O81" s="17" t="n">
        <f aca="false">K81*L81*(1-M81)</f>
        <v>638.71</v>
      </c>
      <c r="P81" s="17" t="n">
        <f aca="false">N81*L81</f>
        <v>426.65</v>
      </c>
      <c r="Q81" s="17" t="n">
        <f aca="false">O81-P81</f>
        <v>212.06</v>
      </c>
      <c r="R81" s="15" t="s">
        <v>167</v>
      </c>
      <c r="S81" s="15" t="s">
        <v>47</v>
      </c>
    </row>
    <row r="82" customFormat="false" ht="15" hidden="false" customHeight="true" outlineLevel="0" collapsed="false">
      <c r="A82" s="11" t="s">
        <v>213</v>
      </c>
      <c r="B82" s="12" t="n">
        <v>45365</v>
      </c>
      <c r="C82" s="11" t="s">
        <v>49</v>
      </c>
      <c r="D82" s="11" t="s">
        <v>152</v>
      </c>
      <c r="E82" s="11" t="s">
        <v>152</v>
      </c>
      <c r="F82" s="11" t="s">
        <v>123</v>
      </c>
      <c r="G82" s="11" t="s">
        <v>52</v>
      </c>
      <c r="H82" s="11" t="s">
        <v>78</v>
      </c>
      <c r="I82" s="11" t="s">
        <v>143</v>
      </c>
      <c r="J82" s="11" t="s">
        <v>144</v>
      </c>
      <c r="K82" s="13" t="n">
        <v>1490.66</v>
      </c>
      <c r="L82" s="11" t="n">
        <v>8</v>
      </c>
      <c r="M82" s="14" t="n">
        <v>0.15</v>
      </c>
      <c r="N82" s="13" t="n">
        <v>1211.33</v>
      </c>
      <c r="O82" s="13" t="n">
        <f aca="false">K82*L82*(1-M82)</f>
        <v>10136.488</v>
      </c>
      <c r="P82" s="13" t="n">
        <f aca="false">N82*L82</f>
        <v>9690.64</v>
      </c>
      <c r="Q82" s="13" t="n">
        <f aca="false">O82-P82</f>
        <v>445.848000000002</v>
      </c>
      <c r="R82" s="11" t="s">
        <v>63</v>
      </c>
      <c r="S82" s="11" t="s">
        <v>47</v>
      </c>
    </row>
    <row r="83" customFormat="false" ht="15" hidden="false" customHeight="true" outlineLevel="0" collapsed="false">
      <c r="A83" s="15" t="s">
        <v>214</v>
      </c>
      <c r="B83" s="16" t="n">
        <v>45365</v>
      </c>
      <c r="C83" s="15" t="s">
        <v>49</v>
      </c>
      <c r="D83" s="15" t="s">
        <v>152</v>
      </c>
      <c r="E83" s="15" t="s">
        <v>152</v>
      </c>
      <c r="F83" s="15" t="s">
        <v>41</v>
      </c>
      <c r="G83" s="15" t="s">
        <v>126</v>
      </c>
      <c r="H83" s="15" t="s">
        <v>53</v>
      </c>
      <c r="I83" s="15" t="s">
        <v>69</v>
      </c>
      <c r="J83" s="15" t="s">
        <v>128</v>
      </c>
      <c r="K83" s="17" t="n">
        <v>12.19</v>
      </c>
      <c r="L83" s="15" t="n">
        <v>17</v>
      </c>
      <c r="M83" s="18" t="n">
        <v>0</v>
      </c>
      <c r="N83" s="17" t="n">
        <v>7.86</v>
      </c>
      <c r="O83" s="17" t="n">
        <f aca="false">K83*L83*(1-M83)</f>
        <v>207.23</v>
      </c>
      <c r="P83" s="17" t="n">
        <f aca="false">N83*L83</f>
        <v>133.62</v>
      </c>
      <c r="Q83" s="17" t="n">
        <f aca="false">O83-P83</f>
        <v>73.61</v>
      </c>
      <c r="R83" s="15" t="s">
        <v>167</v>
      </c>
      <c r="S83" s="15" t="s">
        <v>47</v>
      </c>
    </row>
    <row r="84" customFormat="false" ht="15" hidden="false" customHeight="true" outlineLevel="0" collapsed="false">
      <c r="A84" s="11" t="s">
        <v>215</v>
      </c>
      <c r="B84" s="12" t="n">
        <v>45366</v>
      </c>
      <c r="C84" s="11" t="s">
        <v>49</v>
      </c>
      <c r="D84" s="11" t="s">
        <v>97</v>
      </c>
      <c r="E84" s="11" t="s">
        <v>112</v>
      </c>
      <c r="F84" s="11" t="s">
        <v>123</v>
      </c>
      <c r="G84" s="11" t="s">
        <v>52</v>
      </c>
      <c r="H84" s="11" t="s">
        <v>78</v>
      </c>
      <c r="I84" s="11" t="s">
        <v>79</v>
      </c>
      <c r="J84" s="11" t="s">
        <v>216</v>
      </c>
      <c r="K84" s="13" t="n">
        <v>3920.83</v>
      </c>
      <c r="L84" s="11" t="n">
        <v>8</v>
      </c>
      <c r="M84" s="14" t="n">
        <v>0.05</v>
      </c>
      <c r="N84" s="13" t="n">
        <v>3237.53</v>
      </c>
      <c r="O84" s="13" t="n">
        <f aca="false">K84*L84*(1-M84)</f>
        <v>29798.308</v>
      </c>
      <c r="P84" s="13" t="n">
        <f aca="false">N84*L84</f>
        <v>25900.24</v>
      </c>
      <c r="Q84" s="13" t="n">
        <f aca="false">O84-P84</f>
        <v>3898.068</v>
      </c>
      <c r="R84" s="11" t="s">
        <v>46</v>
      </c>
      <c r="S84" s="11" t="s">
        <v>47</v>
      </c>
    </row>
    <row r="85" customFormat="false" ht="15" hidden="false" customHeight="true" outlineLevel="0" collapsed="false">
      <c r="A85" s="15" t="s">
        <v>217</v>
      </c>
      <c r="B85" s="16" t="n">
        <v>45367</v>
      </c>
      <c r="C85" s="15" t="s">
        <v>65</v>
      </c>
      <c r="D85" s="15" t="s">
        <v>66</v>
      </c>
      <c r="E85" s="15" t="s">
        <v>67</v>
      </c>
      <c r="F85" s="15" t="s">
        <v>51</v>
      </c>
      <c r="G85" s="15" t="s">
        <v>52</v>
      </c>
      <c r="H85" s="15" t="s">
        <v>53</v>
      </c>
      <c r="I85" s="15" t="s">
        <v>69</v>
      </c>
      <c r="J85" s="15" t="s">
        <v>70</v>
      </c>
      <c r="K85" s="17" t="n">
        <v>26.48</v>
      </c>
      <c r="L85" s="15" t="n">
        <v>125</v>
      </c>
      <c r="M85" s="18" t="n">
        <v>0.1</v>
      </c>
      <c r="N85" s="17" t="n">
        <v>18.43</v>
      </c>
      <c r="O85" s="17" t="n">
        <f aca="false">K85*L85*(1-M85)</f>
        <v>2979</v>
      </c>
      <c r="P85" s="17" t="n">
        <f aca="false">N85*L85</f>
        <v>2303.75</v>
      </c>
      <c r="Q85" s="17" t="n">
        <f aca="false">O85-P85</f>
        <v>675.25</v>
      </c>
      <c r="R85" s="15" t="s">
        <v>71</v>
      </c>
      <c r="S85" s="15" t="s">
        <v>47</v>
      </c>
    </row>
    <row r="86" customFormat="false" ht="15" hidden="false" customHeight="true" outlineLevel="0" collapsed="false">
      <c r="A86" s="11" t="s">
        <v>218</v>
      </c>
      <c r="B86" s="12" t="n">
        <v>45368</v>
      </c>
      <c r="C86" s="11" t="s">
        <v>49</v>
      </c>
      <c r="D86" s="11" t="s">
        <v>50</v>
      </c>
      <c r="E86" s="11" t="s">
        <v>50</v>
      </c>
      <c r="F86" s="11" t="s">
        <v>118</v>
      </c>
      <c r="G86" s="11" t="s">
        <v>42</v>
      </c>
      <c r="H86" s="11" t="s">
        <v>53</v>
      </c>
      <c r="I86" s="11" t="s">
        <v>69</v>
      </c>
      <c r="J86" s="11" t="s">
        <v>128</v>
      </c>
      <c r="K86" s="13" t="n">
        <v>16.66</v>
      </c>
      <c r="L86" s="11" t="n">
        <v>77</v>
      </c>
      <c r="M86" s="14" t="n">
        <v>0.05</v>
      </c>
      <c r="N86" s="13" t="n">
        <v>10.39</v>
      </c>
      <c r="O86" s="13" t="n">
        <f aca="false">K86*L86*(1-M86)</f>
        <v>1218.679</v>
      </c>
      <c r="P86" s="13" t="n">
        <f aca="false">N86*L86</f>
        <v>800.03</v>
      </c>
      <c r="Q86" s="13" t="n">
        <f aca="false">O86-P86</f>
        <v>418.649</v>
      </c>
      <c r="R86" s="11" t="s">
        <v>63</v>
      </c>
      <c r="S86" s="11" t="s">
        <v>47</v>
      </c>
    </row>
    <row r="87" customFormat="false" ht="15" hidden="false" customHeight="true" outlineLevel="0" collapsed="false">
      <c r="A87" s="15" t="s">
        <v>219</v>
      </c>
      <c r="B87" s="16" t="n">
        <v>45369</v>
      </c>
      <c r="C87" s="15" t="s">
        <v>49</v>
      </c>
      <c r="D87" s="15" t="s">
        <v>97</v>
      </c>
      <c r="E87" s="15" t="s">
        <v>98</v>
      </c>
      <c r="F87" s="15" t="s">
        <v>123</v>
      </c>
      <c r="G87" s="15" t="s">
        <v>52</v>
      </c>
      <c r="H87" s="15" t="s">
        <v>53</v>
      </c>
      <c r="I87" s="15" t="s">
        <v>69</v>
      </c>
      <c r="J87" s="15" t="s">
        <v>128</v>
      </c>
      <c r="K87" s="17" t="n">
        <v>15.99</v>
      </c>
      <c r="L87" s="15" t="n">
        <v>61</v>
      </c>
      <c r="M87" s="18" t="n">
        <v>0</v>
      </c>
      <c r="N87" s="17" t="n">
        <v>10.38</v>
      </c>
      <c r="O87" s="17" t="n">
        <f aca="false">K87*L87*(1-M87)</f>
        <v>975.39</v>
      </c>
      <c r="P87" s="17" t="n">
        <f aca="false">N87*L87</f>
        <v>633.18</v>
      </c>
      <c r="Q87" s="17" t="n">
        <f aca="false">O87-P87</f>
        <v>342.21</v>
      </c>
      <c r="R87" s="15" t="s">
        <v>46</v>
      </c>
      <c r="S87" s="15" t="s">
        <v>47</v>
      </c>
    </row>
    <row r="88" customFormat="false" ht="15" hidden="false" customHeight="true" outlineLevel="0" collapsed="false">
      <c r="A88" s="11" t="s">
        <v>220</v>
      </c>
      <c r="B88" s="12" t="n">
        <v>45369</v>
      </c>
      <c r="C88" s="11" t="s">
        <v>65</v>
      </c>
      <c r="D88" s="11" t="s">
        <v>82</v>
      </c>
      <c r="E88" s="11" t="s">
        <v>83</v>
      </c>
      <c r="F88" s="11" t="s">
        <v>41</v>
      </c>
      <c r="G88" s="11" t="s">
        <v>52</v>
      </c>
      <c r="H88" s="11" t="s">
        <v>43</v>
      </c>
      <c r="I88" s="11" t="s">
        <v>61</v>
      </c>
      <c r="J88" s="11" t="s">
        <v>147</v>
      </c>
      <c r="K88" s="13" t="n">
        <v>329.9</v>
      </c>
      <c r="L88" s="11" t="n">
        <v>6</v>
      </c>
      <c r="M88" s="14" t="n">
        <v>0.1</v>
      </c>
      <c r="N88" s="13" t="n">
        <v>129.49</v>
      </c>
      <c r="O88" s="13" t="n">
        <f aca="false">K88*L88*(1-M88)</f>
        <v>1781.46</v>
      </c>
      <c r="P88" s="13" t="n">
        <f aca="false">N88*L88</f>
        <v>776.94</v>
      </c>
      <c r="Q88" s="13" t="n">
        <f aca="false">O88-P88</f>
        <v>1004.52</v>
      </c>
      <c r="R88" s="11" t="s">
        <v>63</v>
      </c>
      <c r="S88" s="11" t="s">
        <v>47</v>
      </c>
    </row>
    <row r="89" customFormat="false" ht="15" hidden="false" customHeight="true" outlineLevel="0" collapsed="false">
      <c r="A89" s="15" t="s">
        <v>221</v>
      </c>
      <c r="B89" s="16" t="n">
        <v>45370</v>
      </c>
      <c r="C89" s="15" t="s">
        <v>49</v>
      </c>
      <c r="D89" s="15" t="s">
        <v>97</v>
      </c>
      <c r="E89" s="15" t="s">
        <v>112</v>
      </c>
      <c r="F89" s="15" t="s">
        <v>60</v>
      </c>
      <c r="G89" s="15" t="s">
        <v>52</v>
      </c>
      <c r="H89" s="15" t="s">
        <v>78</v>
      </c>
      <c r="I89" s="15" t="s">
        <v>79</v>
      </c>
      <c r="J89" s="15" t="s">
        <v>80</v>
      </c>
      <c r="K89" s="17" t="n">
        <v>3383.15</v>
      </c>
      <c r="L89" s="15" t="n">
        <v>11</v>
      </c>
      <c r="M89" s="18" t="n">
        <v>0.05</v>
      </c>
      <c r="N89" s="17" t="n">
        <v>2742.25</v>
      </c>
      <c r="O89" s="17" t="n">
        <f aca="false">K89*L89*(1-M89)</f>
        <v>35353.9175</v>
      </c>
      <c r="P89" s="17" t="n">
        <f aca="false">N89*L89</f>
        <v>30164.75</v>
      </c>
      <c r="Q89" s="17" t="n">
        <f aca="false">O89-P89</f>
        <v>5189.1675</v>
      </c>
      <c r="R89" s="15" t="s">
        <v>46</v>
      </c>
      <c r="S89" s="15" t="s">
        <v>47</v>
      </c>
    </row>
    <row r="90" customFormat="false" ht="15" hidden="false" customHeight="true" outlineLevel="0" collapsed="false">
      <c r="A90" s="11" t="s">
        <v>222</v>
      </c>
      <c r="B90" s="12" t="n">
        <v>45370</v>
      </c>
      <c r="C90" s="11" t="s">
        <v>65</v>
      </c>
      <c r="D90" s="11" t="s">
        <v>149</v>
      </c>
      <c r="E90" s="11" t="s">
        <v>150</v>
      </c>
      <c r="F90" s="11" t="s">
        <v>109</v>
      </c>
      <c r="G90" s="11" t="s">
        <v>126</v>
      </c>
      <c r="H90" s="11" t="s">
        <v>84</v>
      </c>
      <c r="I90" s="11" t="s">
        <v>136</v>
      </c>
      <c r="J90" s="11" t="s">
        <v>137</v>
      </c>
      <c r="K90" s="13" t="n">
        <v>190.53</v>
      </c>
      <c r="L90" s="11" t="n">
        <v>13</v>
      </c>
      <c r="M90" s="14" t="n">
        <v>0</v>
      </c>
      <c r="N90" s="13" t="n">
        <v>149.86</v>
      </c>
      <c r="O90" s="13" t="n">
        <f aca="false">K90*L90*(1-M90)</f>
        <v>2476.89</v>
      </c>
      <c r="P90" s="13" t="n">
        <f aca="false">N90*L90</f>
        <v>1948.18</v>
      </c>
      <c r="Q90" s="13" t="n">
        <f aca="false">O90-P90</f>
        <v>528.71</v>
      </c>
      <c r="R90" s="11" t="s">
        <v>63</v>
      </c>
      <c r="S90" s="11" t="s">
        <v>47</v>
      </c>
    </row>
    <row r="91" customFormat="false" ht="15" hidden="false" customHeight="true" outlineLevel="0" collapsed="false">
      <c r="A91" s="15" t="s">
        <v>223</v>
      </c>
      <c r="B91" s="16" t="n">
        <v>45371</v>
      </c>
      <c r="C91" s="15" t="s">
        <v>65</v>
      </c>
      <c r="D91" s="15" t="s">
        <v>116</v>
      </c>
      <c r="E91" s="15" t="s">
        <v>117</v>
      </c>
      <c r="F91" s="15" t="s">
        <v>123</v>
      </c>
      <c r="G91" s="15" t="s">
        <v>77</v>
      </c>
      <c r="H91" s="15" t="s">
        <v>43</v>
      </c>
      <c r="I91" s="15" t="s">
        <v>61</v>
      </c>
      <c r="J91" s="15" t="s">
        <v>147</v>
      </c>
      <c r="K91" s="17" t="n">
        <v>216.12</v>
      </c>
      <c r="L91" s="15" t="n">
        <v>30</v>
      </c>
      <c r="M91" s="18" t="n">
        <v>0.15</v>
      </c>
      <c r="N91" s="17" t="n">
        <v>82.11</v>
      </c>
      <c r="O91" s="17" t="n">
        <f aca="false">K91*L91*(1-M91)</f>
        <v>5511.06</v>
      </c>
      <c r="P91" s="17" t="n">
        <f aca="false">N91*L91</f>
        <v>2463.3</v>
      </c>
      <c r="Q91" s="17" t="n">
        <f aca="false">O91-P91</f>
        <v>3047.76</v>
      </c>
      <c r="R91" s="15" t="s">
        <v>46</v>
      </c>
      <c r="S91" s="15" t="s">
        <v>47</v>
      </c>
    </row>
    <row r="92" customFormat="false" ht="15" hidden="false" customHeight="true" outlineLevel="0" collapsed="false">
      <c r="A92" s="11" t="s">
        <v>224</v>
      </c>
      <c r="B92" s="12" t="n">
        <v>45371</v>
      </c>
      <c r="C92" s="11" t="s">
        <v>49</v>
      </c>
      <c r="D92" s="11" t="s">
        <v>97</v>
      </c>
      <c r="E92" s="11" t="s">
        <v>112</v>
      </c>
      <c r="F92" s="11" t="s">
        <v>109</v>
      </c>
      <c r="G92" s="11" t="s">
        <v>52</v>
      </c>
      <c r="H92" s="11" t="s">
        <v>84</v>
      </c>
      <c r="I92" s="11" t="s">
        <v>100</v>
      </c>
      <c r="J92" s="11" t="s">
        <v>101</v>
      </c>
      <c r="K92" s="13" t="n">
        <v>1670.85</v>
      </c>
      <c r="L92" s="11" t="n">
        <v>11</v>
      </c>
      <c r="M92" s="14" t="n">
        <v>0</v>
      </c>
      <c r="N92" s="13" t="n">
        <v>1339.79</v>
      </c>
      <c r="O92" s="13" t="n">
        <f aca="false">K92*L92*(1-M92)</f>
        <v>18379.35</v>
      </c>
      <c r="P92" s="13" t="n">
        <f aca="false">N92*L92</f>
        <v>14737.69</v>
      </c>
      <c r="Q92" s="13" t="n">
        <f aca="false">O92-P92</f>
        <v>3641.66</v>
      </c>
      <c r="R92" s="11" t="s">
        <v>46</v>
      </c>
      <c r="S92" s="11" t="s">
        <v>47</v>
      </c>
    </row>
    <row r="93" customFormat="false" ht="15" hidden="false" customHeight="true" outlineLevel="0" collapsed="false">
      <c r="A93" s="15" t="s">
        <v>225</v>
      </c>
      <c r="B93" s="16" t="n">
        <v>45372</v>
      </c>
      <c r="C93" s="15" t="s">
        <v>74</v>
      </c>
      <c r="D93" s="15" t="s">
        <v>171</v>
      </c>
      <c r="E93" s="15" t="s">
        <v>172</v>
      </c>
      <c r="F93" s="15" t="s">
        <v>68</v>
      </c>
      <c r="G93" s="15" t="s">
        <v>42</v>
      </c>
      <c r="H93" s="15" t="s">
        <v>43</v>
      </c>
      <c r="I93" s="15" t="s">
        <v>61</v>
      </c>
      <c r="J93" s="15" t="s">
        <v>62</v>
      </c>
      <c r="K93" s="17" t="n">
        <v>511.92</v>
      </c>
      <c r="L93" s="15" t="n">
        <v>21</v>
      </c>
      <c r="M93" s="18" t="n">
        <v>0</v>
      </c>
      <c r="N93" s="17" t="n">
        <v>175.96</v>
      </c>
      <c r="O93" s="17" t="n">
        <f aca="false">K93*L93*(1-M93)</f>
        <v>10750.32</v>
      </c>
      <c r="P93" s="17" t="n">
        <f aca="false">N93*L93</f>
        <v>3695.16</v>
      </c>
      <c r="Q93" s="17" t="n">
        <f aca="false">O93-P93</f>
        <v>7055.16</v>
      </c>
      <c r="R93" s="15" t="s">
        <v>71</v>
      </c>
      <c r="S93" s="15" t="s">
        <v>47</v>
      </c>
    </row>
    <row r="94" customFormat="false" ht="15" hidden="false" customHeight="true" outlineLevel="0" collapsed="false">
      <c r="A94" s="11" t="s">
        <v>226</v>
      </c>
      <c r="B94" s="12" t="n">
        <v>45373</v>
      </c>
      <c r="C94" s="11" t="s">
        <v>49</v>
      </c>
      <c r="D94" s="11" t="s">
        <v>97</v>
      </c>
      <c r="E94" s="11" t="s">
        <v>98</v>
      </c>
      <c r="F94" s="11" t="s">
        <v>41</v>
      </c>
      <c r="G94" s="11" t="s">
        <v>77</v>
      </c>
      <c r="H94" s="11" t="s">
        <v>53</v>
      </c>
      <c r="I94" s="11" t="s">
        <v>94</v>
      </c>
      <c r="J94" s="11" t="s">
        <v>131</v>
      </c>
      <c r="K94" s="13" t="n">
        <v>51.29</v>
      </c>
      <c r="L94" s="11" t="n">
        <v>51</v>
      </c>
      <c r="M94" s="14" t="n">
        <v>0.1</v>
      </c>
      <c r="N94" s="13" t="n">
        <v>32.22</v>
      </c>
      <c r="O94" s="13" t="n">
        <f aca="false">K94*L94*(1-M94)</f>
        <v>2354.211</v>
      </c>
      <c r="P94" s="13" t="n">
        <f aca="false">N94*L94</f>
        <v>1643.22</v>
      </c>
      <c r="Q94" s="13" t="n">
        <f aca="false">O94-P94</f>
        <v>710.991</v>
      </c>
      <c r="R94" s="11" t="s">
        <v>63</v>
      </c>
      <c r="S94" s="11" t="s">
        <v>47</v>
      </c>
    </row>
    <row r="95" customFormat="false" ht="15" hidden="false" customHeight="true" outlineLevel="0" collapsed="false">
      <c r="A95" s="15" t="s">
        <v>227</v>
      </c>
      <c r="B95" s="16" t="n">
        <v>45373</v>
      </c>
      <c r="C95" s="15" t="s">
        <v>38</v>
      </c>
      <c r="D95" s="15" t="s">
        <v>92</v>
      </c>
      <c r="E95" s="15" t="s">
        <v>93</v>
      </c>
      <c r="F95" s="15" t="s">
        <v>60</v>
      </c>
      <c r="G95" s="15" t="s">
        <v>42</v>
      </c>
      <c r="H95" s="15" t="s">
        <v>53</v>
      </c>
      <c r="I95" s="15" t="s">
        <v>54</v>
      </c>
      <c r="J95" s="15" t="s">
        <v>55</v>
      </c>
      <c r="K95" s="17" t="n">
        <v>12.9</v>
      </c>
      <c r="L95" s="15" t="n">
        <v>171</v>
      </c>
      <c r="M95" s="18" t="n">
        <v>0.1</v>
      </c>
      <c r="N95" s="17" t="n">
        <v>9.22</v>
      </c>
      <c r="O95" s="17" t="n">
        <f aca="false">K95*L95*(1-M95)</f>
        <v>1985.31</v>
      </c>
      <c r="P95" s="17" t="n">
        <f aca="false">N95*L95</f>
        <v>1576.62</v>
      </c>
      <c r="Q95" s="17" t="n">
        <f aca="false">O95-P95</f>
        <v>408.69</v>
      </c>
      <c r="R95" s="15" t="s">
        <v>46</v>
      </c>
      <c r="S95" s="15" t="s">
        <v>47</v>
      </c>
    </row>
    <row r="96" customFormat="false" ht="15" hidden="false" customHeight="true" outlineLevel="0" collapsed="false">
      <c r="A96" s="11" t="s">
        <v>228</v>
      </c>
      <c r="B96" s="12" t="n">
        <v>45373</v>
      </c>
      <c r="C96" s="11" t="s">
        <v>49</v>
      </c>
      <c r="D96" s="11" t="s">
        <v>97</v>
      </c>
      <c r="E96" s="11" t="s">
        <v>98</v>
      </c>
      <c r="F96" s="11" t="s">
        <v>68</v>
      </c>
      <c r="G96" s="11" t="s">
        <v>42</v>
      </c>
      <c r="H96" s="11" t="s">
        <v>53</v>
      </c>
      <c r="I96" s="11" t="s">
        <v>94</v>
      </c>
      <c r="J96" s="11" t="s">
        <v>131</v>
      </c>
      <c r="K96" s="13" t="n">
        <v>44.2</v>
      </c>
      <c r="L96" s="11" t="n">
        <v>17</v>
      </c>
      <c r="M96" s="14" t="n">
        <v>0</v>
      </c>
      <c r="N96" s="13" t="n">
        <v>26.07</v>
      </c>
      <c r="O96" s="13" t="n">
        <f aca="false">K96*L96*(1-M96)</f>
        <v>751.4</v>
      </c>
      <c r="P96" s="13" t="n">
        <f aca="false">N96*L96</f>
        <v>443.19</v>
      </c>
      <c r="Q96" s="13" t="n">
        <f aca="false">O96-P96</f>
        <v>308.21</v>
      </c>
      <c r="R96" s="11" t="s">
        <v>71</v>
      </c>
      <c r="S96" s="11" t="s">
        <v>47</v>
      </c>
    </row>
    <row r="97" customFormat="false" ht="15" hidden="false" customHeight="true" outlineLevel="0" collapsed="false">
      <c r="A97" s="15" t="s">
        <v>229</v>
      </c>
      <c r="B97" s="16" t="n">
        <v>45377</v>
      </c>
      <c r="C97" s="15" t="s">
        <v>65</v>
      </c>
      <c r="D97" s="15" t="s">
        <v>149</v>
      </c>
      <c r="E97" s="15" t="s">
        <v>150</v>
      </c>
      <c r="F97" s="15" t="s">
        <v>109</v>
      </c>
      <c r="G97" s="15" t="s">
        <v>42</v>
      </c>
      <c r="H97" s="15" t="s">
        <v>78</v>
      </c>
      <c r="I97" s="15" t="s">
        <v>154</v>
      </c>
      <c r="J97" s="15" t="s">
        <v>155</v>
      </c>
      <c r="K97" s="17" t="n">
        <v>720.71</v>
      </c>
      <c r="L97" s="15" t="n">
        <v>5</v>
      </c>
      <c r="M97" s="18" t="n">
        <v>0.05</v>
      </c>
      <c r="N97" s="17" t="n">
        <v>571.99</v>
      </c>
      <c r="O97" s="17" t="n">
        <f aca="false">K97*L97*(1-M97)</f>
        <v>3423.3725</v>
      </c>
      <c r="P97" s="17" t="n">
        <f aca="false">N97*L97</f>
        <v>2859.95</v>
      </c>
      <c r="Q97" s="17" t="n">
        <f aca="false">O97-P97</f>
        <v>563.4225</v>
      </c>
      <c r="R97" s="15" t="s">
        <v>46</v>
      </c>
      <c r="S97" s="15" t="s">
        <v>47</v>
      </c>
    </row>
    <row r="98" customFormat="false" ht="15" hidden="false" customHeight="true" outlineLevel="0" collapsed="false">
      <c r="A98" s="11" t="s">
        <v>230</v>
      </c>
      <c r="B98" s="12" t="n">
        <v>45377</v>
      </c>
      <c r="C98" s="11" t="s">
        <v>74</v>
      </c>
      <c r="D98" s="11" t="s">
        <v>75</v>
      </c>
      <c r="E98" s="11" t="s">
        <v>76</v>
      </c>
      <c r="F98" s="11" t="s">
        <v>99</v>
      </c>
      <c r="G98" s="11" t="s">
        <v>77</v>
      </c>
      <c r="H98" s="11" t="s">
        <v>53</v>
      </c>
      <c r="I98" s="11" t="s">
        <v>69</v>
      </c>
      <c r="J98" s="11" t="s">
        <v>70</v>
      </c>
      <c r="K98" s="13" t="n">
        <v>32.22</v>
      </c>
      <c r="L98" s="11" t="n">
        <v>57</v>
      </c>
      <c r="M98" s="14" t="n">
        <v>0.05</v>
      </c>
      <c r="N98" s="13" t="n">
        <v>23.77</v>
      </c>
      <c r="O98" s="13" t="n">
        <f aca="false">K98*L98*(1-M98)</f>
        <v>1744.713</v>
      </c>
      <c r="P98" s="13" t="n">
        <f aca="false">N98*L98</f>
        <v>1354.89</v>
      </c>
      <c r="Q98" s="13" t="n">
        <f aca="false">O98-P98</f>
        <v>389.823</v>
      </c>
      <c r="R98" s="11" t="s">
        <v>167</v>
      </c>
      <c r="S98" s="11" t="s">
        <v>47</v>
      </c>
    </row>
    <row r="99" customFormat="false" ht="15" hidden="false" customHeight="true" outlineLevel="0" collapsed="false">
      <c r="A99" s="15" t="s">
        <v>231</v>
      </c>
      <c r="B99" s="16" t="n">
        <v>45377</v>
      </c>
      <c r="C99" s="15" t="s">
        <v>65</v>
      </c>
      <c r="D99" s="15" t="s">
        <v>66</v>
      </c>
      <c r="E99" s="15" t="s">
        <v>67</v>
      </c>
      <c r="F99" s="15" t="s">
        <v>123</v>
      </c>
      <c r="G99" s="15" t="s">
        <v>130</v>
      </c>
      <c r="H99" s="15" t="s">
        <v>78</v>
      </c>
      <c r="I99" s="15" t="s">
        <v>120</v>
      </c>
      <c r="J99" s="15" t="s">
        <v>232</v>
      </c>
      <c r="K99" s="17" t="n">
        <v>304.06</v>
      </c>
      <c r="L99" s="15" t="n">
        <v>70</v>
      </c>
      <c r="M99" s="18" t="n">
        <v>0.15</v>
      </c>
      <c r="N99" s="17" t="n">
        <v>213.23</v>
      </c>
      <c r="O99" s="17" t="n">
        <f aca="false">K99*L99*(1-M99)</f>
        <v>18091.57</v>
      </c>
      <c r="P99" s="17" t="n">
        <f aca="false">N99*L99</f>
        <v>14926.1</v>
      </c>
      <c r="Q99" s="17" t="n">
        <f aca="false">O99-P99</f>
        <v>3165.47</v>
      </c>
      <c r="R99" s="15" t="s">
        <v>46</v>
      </c>
      <c r="S99" s="15" t="s">
        <v>72</v>
      </c>
    </row>
    <row r="100" customFormat="false" ht="15" hidden="false" customHeight="true" outlineLevel="0" collapsed="false">
      <c r="A100" s="11" t="s">
        <v>233</v>
      </c>
      <c r="B100" s="12" t="n">
        <v>45378</v>
      </c>
      <c r="C100" s="11" t="s">
        <v>49</v>
      </c>
      <c r="D100" s="11" t="s">
        <v>50</v>
      </c>
      <c r="E100" s="11" t="s">
        <v>50</v>
      </c>
      <c r="F100" s="11" t="s">
        <v>99</v>
      </c>
      <c r="G100" s="11" t="s">
        <v>77</v>
      </c>
      <c r="H100" s="11" t="s">
        <v>78</v>
      </c>
      <c r="I100" s="11" t="s">
        <v>120</v>
      </c>
      <c r="J100" s="11" t="s">
        <v>121</v>
      </c>
      <c r="K100" s="13" t="n">
        <v>325.7</v>
      </c>
      <c r="L100" s="11" t="n">
        <v>56</v>
      </c>
      <c r="M100" s="14" t="n">
        <v>0</v>
      </c>
      <c r="N100" s="13" t="n">
        <v>257.5</v>
      </c>
      <c r="O100" s="13" t="n">
        <f aca="false">K100*L100*(1-M100)</f>
        <v>18239.2</v>
      </c>
      <c r="P100" s="13" t="n">
        <f aca="false">N100*L100</f>
        <v>14420</v>
      </c>
      <c r="Q100" s="13" t="n">
        <f aca="false">O100-P100</f>
        <v>3819.2</v>
      </c>
      <c r="R100" s="11" t="s">
        <v>46</v>
      </c>
      <c r="S100" s="11" t="s">
        <v>47</v>
      </c>
    </row>
    <row r="101" customFormat="false" ht="15" hidden="false" customHeight="true" outlineLevel="0" collapsed="false">
      <c r="A101" s="15" t="s">
        <v>234</v>
      </c>
      <c r="B101" s="16" t="n">
        <v>45378</v>
      </c>
      <c r="C101" s="15" t="s">
        <v>49</v>
      </c>
      <c r="D101" s="15" t="s">
        <v>97</v>
      </c>
      <c r="E101" s="15" t="s">
        <v>108</v>
      </c>
      <c r="F101" s="15" t="s">
        <v>99</v>
      </c>
      <c r="G101" s="15" t="s">
        <v>130</v>
      </c>
      <c r="H101" s="15" t="s">
        <v>78</v>
      </c>
      <c r="I101" s="15" t="s">
        <v>120</v>
      </c>
      <c r="J101" s="15" t="s">
        <v>235</v>
      </c>
      <c r="K101" s="17" t="n">
        <v>62.82</v>
      </c>
      <c r="L101" s="15" t="n">
        <v>113</v>
      </c>
      <c r="M101" s="18" t="n">
        <v>0.1</v>
      </c>
      <c r="N101" s="17" t="n">
        <v>46.47</v>
      </c>
      <c r="O101" s="17" t="n">
        <f aca="false">K101*L101*(1-M101)</f>
        <v>6388.794</v>
      </c>
      <c r="P101" s="17" t="n">
        <f aca="false">N101*L101</f>
        <v>5251.11</v>
      </c>
      <c r="Q101" s="17" t="n">
        <f aca="false">O101-P101</f>
        <v>1137.684</v>
      </c>
      <c r="R101" s="15" t="s">
        <v>46</v>
      </c>
      <c r="S101" s="15" t="s">
        <v>47</v>
      </c>
    </row>
    <row r="102" customFormat="false" ht="15" hidden="false" customHeight="true" outlineLevel="0" collapsed="false">
      <c r="A102" s="11" t="s">
        <v>236</v>
      </c>
      <c r="B102" s="12" t="n">
        <v>45378</v>
      </c>
      <c r="C102" s="11" t="s">
        <v>65</v>
      </c>
      <c r="D102" s="11" t="s">
        <v>116</v>
      </c>
      <c r="E102" s="11" t="s">
        <v>117</v>
      </c>
      <c r="F102" s="11" t="s">
        <v>118</v>
      </c>
      <c r="G102" s="11" t="s">
        <v>52</v>
      </c>
      <c r="H102" s="11" t="s">
        <v>53</v>
      </c>
      <c r="I102" s="11" t="s">
        <v>94</v>
      </c>
      <c r="J102" s="11" t="s">
        <v>131</v>
      </c>
      <c r="K102" s="13" t="n">
        <v>36.89</v>
      </c>
      <c r="L102" s="11" t="n">
        <v>60</v>
      </c>
      <c r="M102" s="14" t="n">
        <v>0</v>
      </c>
      <c r="N102" s="13" t="n">
        <v>24.74</v>
      </c>
      <c r="O102" s="13" t="n">
        <f aca="false">K102*L102*(1-M102)</f>
        <v>2213.4</v>
      </c>
      <c r="P102" s="13" t="n">
        <f aca="false">N102*L102</f>
        <v>1484.4</v>
      </c>
      <c r="Q102" s="13" t="n">
        <f aca="false">O102-P102</f>
        <v>729</v>
      </c>
      <c r="R102" s="11" t="s">
        <v>46</v>
      </c>
      <c r="S102" s="11" t="s">
        <v>47</v>
      </c>
    </row>
    <row r="103" customFormat="false" ht="15" hidden="false" customHeight="true" outlineLevel="0" collapsed="false">
      <c r="A103" s="15" t="s">
        <v>237</v>
      </c>
      <c r="B103" s="16" t="n">
        <v>45378</v>
      </c>
      <c r="C103" s="15" t="s">
        <v>65</v>
      </c>
      <c r="D103" s="15" t="s">
        <v>116</v>
      </c>
      <c r="E103" s="15" t="s">
        <v>117</v>
      </c>
      <c r="F103" s="15" t="s">
        <v>109</v>
      </c>
      <c r="G103" s="15" t="s">
        <v>42</v>
      </c>
      <c r="H103" s="15" t="s">
        <v>53</v>
      </c>
      <c r="I103" s="15" t="s">
        <v>54</v>
      </c>
      <c r="J103" s="15" t="s">
        <v>113</v>
      </c>
      <c r="K103" s="17" t="n">
        <v>13</v>
      </c>
      <c r="L103" s="15" t="n">
        <v>85</v>
      </c>
      <c r="M103" s="18" t="n">
        <v>0.05</v>
      </c>
      <c r="N103" s="17" t="n">
        <v>8.06</v>
      </c>
      <c r="O103" s="17" t="n">
        <f aca="false">K103*L103*(1-M103)</f>
        <v>1049.75</v>
      </c>
      <c r="P103" s="17" t="n">
        <f aca="false">N103*L103</f>
        <v>685.1</v>
      </c>
      <c r="Q103" s="17" t="n">
        <f aca="false">O103-P103</f>
        <v>364.65</v>
      </c>
      <c r="R103" s="15" t="s">
        <v>167</v>
      </c>
      <c r="S103" s="15" t="s">
        <v>47</v>
      </c>
    </row>
    <row r="104" customFormat="false" ht="15" hidden="false" customHeight="true" outlineLevel="0" collapsed="false">
      <c r="A104" s="11" t="s">
        <v>238</v>
      </c>
      <c r="B104" s="12" t="n">
        <v>45379</v>
      </c>
      <c r="C104" s="11" t="s">
        <v>49</v>
      </c>
      <c r="D104" s="11" t="s">
        <v>97</v>
      </c>
      <c r="E104" s="11" t="s">
        <v>112</v>
      </c>
      <c r="F104" s="11" t="s">
        <v>118</v>
      </c>
      <c r="G104" s="11" t="s">
        <v>42</v>
      </c>
      <c r="H104" s="11" t="s">
        <v>53</v>
      </c>
      <c r="I104" s="11" t="s">
        <v>69</v>
      </c>
      <c r="J104" s="11" t="s">
        <v>128</v>
      </c>
      <c r="K104" s="13" t="n">
        <v>19.94</v>
      </c>
      <c r="L104" s="11" t="n">
        <v>181</v>
      </c>
      <c r="M104" s="14" t="n">
        <v>0</v>
      </c>
      <c r="N104" s="13" t="n">
        <v>13.88</v>
      </c>
      <c r="O104" s="13" t="n">
        <f aca="false">K104*L104*(1-M104)</f>
        <v>3609.14</v>
      </c>
      <c r="P104" s="13" t="n">
        <f aca="false">N104*L104</f>
        <v>2512.28</v>
      </c>
      <c r="Q104" s="13" t="n">
        <f aca="false">O104-P104</f>
        <v>1096.86</v>
      </c>
      <c r="R104" s="11" t="s">
        <v>46</v>
      </c>
      <c r="S104" s="11" t="s">
        <v>47</v>
      </c>
    </row>
    <row r="105" customFormat="false" ht="15" hidden="false" customHeight="true" outlineLevel="0" collapsed="false">
      <c r="A105" s="15" t="s">
        <v>239</v>
      </c>
      <c r="B105" s="16" t="n">
        <v>45380</v>
      </c>
      <c r="C105" s="15" t="s">
        <v>65</v>
      </c>
      <c r="D105" s="15" t="s">
        <v>149</v>
      </c>
      <c r="E105" s="15" t="s">
        <v>150</v>
      </c>
      <c r="F105" s="15" t="s">
        <v>51</v>
      </c>
      <c r="G105" s="15" t="s">
        <v>126</v>
      </c>
      <c r="H105" s="15" t="s">
        <v>78</v>
      </c>
      <c r="I105" s="15" t="s">
        <v>154</v>
      </c>
      <c r="J105" s="15" t="s">
        <v>155</v>
      </c>
      <c r="K105" s="17" t="n">
        <v>459.01</v>
      </c>
      <c r="L105" s="15" t="n">
        <v>8</v>
      </c>
      <c r="M105" s="18" t="n">
        <v>0</v>
      </c>
      <c r="N105" s="17" t="n">
        <v>383.03</v>
      </c>
      <c r="O105" s="17" t="n">
        <f aca="false">K105*L105*(1-M105)</f>
        <v>3672.08</v>
      </c>
      <c r="P105" s="17" t="n">
        <f aca="false">N105*L105</f>
        <v>3064.24</v>
      </c>
      <c r="Q105" s="17" t="n">
        <f aca="false">O105-P105</f>
        <v>607.84</v>
      </c>
      <c r="R105" s="15" t="s">
        <v>71</v>
      </c>
      <c r="S105" s="15" t="s">
        <v>72</v>
      </c>
    </row>
    <row r="106" customFormat="false" ht="15" hidden="false" customHeight="true" outlineLevel="0" collapsed="false">
      <c r="A106" s="11" t="s">
        <v>240</v>
      </c>
      <c r="B106" s="12" t="n">
        <v>45381</v>
      </c>
      <c r="C106" s="11" t="s">
        <v>38</v>
      </c>
      <c r="D106" s="11" t="s">
        <v>88</v>
      </c>
      <c r="E106" s="11" t="s">
        <v>89</v>
      </c>
      <c r="F106" s="11" t="s">
        <v>41</v>
      </c>
      <c r="G106" s="11" t="s">
        <v>42</v>
      </c>
      <c r="H106" s="11" t="s">
        <v>43</v>
      </c>
      <c r="I106" s="11" t="s">
        <v>61</v>
      </c>
      <c r="J106" s="11" t="s">
        <v>62</v>
      </c>
      <c r="K106" s="13" t="n">
        <v>501.05</v>
      </c>
      <c r="L106" s="11" t="n">
        <v>40</v>
      </c>
      <c r="M106" s="14" t="n">
        <v>0.05</v>
      </c>
      <c r="N106" s="13" t="n">
        <v>191.98</v>
      </c>
      <c r="O106" s="13" t="n">
        <f aca="false">K106*L106*(1-M106)</f>
        <v>19039.9</v>
      </c>
      <c r="P106" s="13" t="n">
        <f aca="false">N106*L106</f>
        <v>7679.2</v>
      </c>
      <c r="Q106" s="13" t="n">
        <f aca="false">O106-P106</f>
        <v>11360.7</v>
      </c>
      <c r="R106" s="11" t="s">
        <v>114</v>
      </c>
      <c r="S106" s="11" t="s">
        <v>47</v>
      </c>
    </row>
    <row r="107" customFormat="false" ht="15" hidden="false" customHeight="true" outlineLevel="0" collapsed="false">
      <c r="A107" s="15" t="s">
        <v>241</v>
      </c>
      <c r="B107" s="16" t="n">
        <v>45381</v>
      </c>
      <c r="C107" s="15" t="s">
        <v>49</v>
      </c>
      <c r="D107" s="15" t="s">
        <v>97</v>
      </c>
      <c r="E107" s="15" t="s">
        <v>108</v>
      </c>
      <c r="F107" s="15" t="s">
        <v>99</v>
      </c>
      <c r="G107" s="15" t="s">
        <v>77</v>
      </c>
      <c r="H107" s="15" t="s">
        <v>78</v>
      </c>
      <c r="I107" s="15" t="s">
        <v>79</v>
      </c>
      <c r="J107" s="15" t="s">
        <v>242</v>
      </c>
      <c r="K107" s="17" t="n">
        <v>4162.23</v>
      </c>
      <c r="L107" s="15" t="n">
        <v>3</v>
      </c>
      <c r="M107" s="18" t="n">
        <v>0.05</v>
      </c>
      <c r="N107" s="17" t="n">
        <v>3474.89</v>
      </c>
      <c r="O107" s="17" t="n">
        <f aca="false">K107*L107*(1-M107)</f>
        <v>11862.3555</v>
      </c>
      <c r="P107" s="17" t="n">
        <f aca="false">N107*L107</f>
        <v>10424.67</v>
      </c>
      <c r="Q107" s="17" t="n">
        <f aca="false">O107-P107</f>
        <v>1437.6855</v>
      </c>
      <c r="R107" s="15" t="s">
        <v>63</v>
      </c>
      <c r="S107" s="15" t="s">
        <v>47</v>
      </c>
    </row>
    <row r="108" customFormat="false" ht="15" hidden="false" customHeight="true" outlineLevel="0" collapsed="false">
      <c r="A108" s="11" t="s">
        <v>243</v>
      </c>
      <c r="B108" s="12" t="n">
        <v>45382</v>
      </c>
      <c r="C108" s="11" t="s">
        <v>49</v>
      </c>
      <c r="D108" s="11" t="s">
        <v>97</v>
      </c>
      <c r="E108" s="11" t="s">
        <v>108</v>
      </c>
      <c r="F108" s="11" t="s">
        <v>118</v>
      </c>
      <c r="G108" s="11" t="s">
        <v>52</v>
      </c>
      <c r="H108" s="11" t="s">
        <v>53</v>
      </c>
      <c r="I108" s="11" t="s">
        <v>94</v>
      </c>
      <c r="J108" s="11" t="s">
        <v>131</v>
      </c>
      <c r="K108" s="13" t="n">
        <v>45.48</v>
      </c>
      <c r="L108" s="11" t="n">
        <v>81</v>
      </c>
      <c r="M108" s="14" t="n">
        <v>0</v>
      </c>
      <c r="N108" s="13" t="n">
        <v>30.29</v>
      </c>
      <c r="O108" s="13" t="n">
        <f aca="false">K108*L108*(1-M108)</f>
        <v>3683.88</v>
      </c>
      <c r="P108" s="13" t="n">
        <f aca="false">N108*L108</f>
        <v>2453.49</v>
      </c>
      <c r="Q108" s="13" t="n">
        <f aca="false">O108-P108</f>
        <v>1230.39</v>
      </c>
      <c r="R108" s="11" t="s">
        <v>46</v>
      </c>
      <c r="S108" s="11" t="s">
        <v>47</v>
      </c>
    </row>
    <row r="109" customFormat="false" ht="15" hidden="false" customHeight="true" outlineLevel="0" collapsed="false">
      <c r="A109" s="15" t="s">
        <v>244</v>
      </c>
      <c r="B109" s="16" t="n">
        <v>45382</v>
      </c>
      <c r="C109" s="15" t="s">
        <v>65</v>
      </c>
      <c r="D109" s="15" t="s">
        <v>116</v>
      </c>
      <c r="E109" s="15" t="s">
        <v>117</v>
      </c>
      <c r="F109" s="15" t="s">
        <v>109</v>
      </c>
      <c r="G109" s="15" t="s">
        <v>42</v>
      </c>
      <c r="H109" s="15" t="s">
        <v>78</v>
      </c>
      <c r="I109" s="15" t="s">
        <v>120</v>
      </c>
      <c r="J109" s="15" t="s">
        <v>235</v>
      </c>
      <c r="K109" s="17" t="n">
        <v>122.8</v>
      </c>
      <c r="L109" s="15" t="n">
        <v>70</v>
      </c>
      <c r="M109" s="18" t="n">
        <v>0</v>
      </c>
      <c r="N109" s="17" t="n">
        <v>90.7</v>
      </c>
      <c r="O109" s="17" t="n">
        <f aca="false">K109*L109*(1-M109)</f>
        <v>8596</v>
      </c>
      <c r="P109" s="17" t="n">
        <f aca="false">N109*L109</f>
        <v>6349</v>
      </c>
      <c r="Q109" s="17" t="n">
        <f aca="false">O109-P109</f>
        <v>2247</v>
      </c>
      <c r="R109" s="15" t="s">
        <v>114</v>
      </c>
      <c r="S109" s="15" t="s">
        <v>47</v>
      </c>
    </row>
    <row r="110" customFormat="false" ht="15" hidden="false" customHeight="true" outlineLevel="0" collapsed="false">
      <c r="A110" s="11" t="s">
        <v>245</v>
      </c>
      <c r="B110" s="12" t="n">
        <v>45382</v>
      </c>
      <c r="C110" s="11" t="s">
        <v>65</v>
      </c>
      <c r="D110" s="11" t="s">
        <v>82</v>
      </c>
      <c r="E110" s="11" t="s">
        <v>83</v>
      </c>
      <c r="F110" s="11" t="s">
        <v>123</v>
      </c>
      <c r="G110" s="11" t="s">
        <v>52</v>
      </c>
      <c r="H110" s="11" t="s">
        <v>78</v>
      </c>
      <c r="I110" s="11" t="s">
        <v>143</v>
      </c>
      <c r="J110" s="11" t="s">
        <v>144</v>
      </c>
      <c r="K110" s="13" t="n">
        <v>1533.57</v>
      </c>
      <c r="L110" s="11" t="n">
        <v>7</v>
      </c>
      <c r="M110" s="14" t="n">
        <v>0.1</v>
      </c>
      <c r="N110" s="13" t="n">
        <v>1254.57</v>
      </c>
      <c r="O110" s="13" t="n">
        <f aca="false">K110*L110*(1-M110)</f>
        <v>9661.491</v>
      </c>
      <c r="P110" s="13" t="n">
        <f aca="false">N110*L110</f>
        <v>8781.99</v>
      </c>
      <c r="Q110" s="13" t="n">
        <f aca="false">O110-P110</f>
        <v>879.501</v>
      </c>
      <c r="R110" s="11" t="s">
        <v>167</v>
      </c>
      <c r="S110" s="11" t="s">
        <v>47</v>
      </c>
    </row>
    <row r="111" customFormat="false" ht="15" hidden="false" customHeight="true" outlineLevel="0" collapsed="false">
      <c r="A111" s="15" t="s">
        <v>246</v>
      </c>
      <c r="B111" s="16" t="n">
        <v>45385</v>
      </c>
      <c r="C111" s="15" t="s">
        <v>49</v>
      </c>
      <c r="D111" s="15" t="s">
        <v>97</v>
      </c>
      <c r="E111" s="15" t="s">
        <v>108</v>
      </c>
      <c r="F111" s="15" t="s">
        <v>123</v>
      </c>
      <c r="G111" s="15" t="s">
        <v>126</v>
      </c>
      <c r="H111" s="15" t="s">
        <v>84</v>
      </c>
      <c r="I111" s="15" t="s">
        <v>136</v>
      </c>
      <c r="J111" s="15" t="s">
        <v>247</v>
      </c>
      <c r="K111" s="17" t="n">
        <v>1119.88</v>
      </c>
      <c r="L111" s="15" t="n">
        <v>4</v>
      </c>
      <c r="M111" s="18" t="n">
        <v>0.1</v>
      </c>
      <c r="N111" s="17" t="n">
        <v>899.31</v>
      </c>
      <c r="O111" s="17" t="n">
        <f aca="false">K111*L111*(1-M111)</f>
        <v>4031.568</v>
      </c>
      <c r="P111" s="17" t="n">
        <f aca="false">N111*L111</f>
        <v>3597.24</v>
      </c>
      <c r="Q111" s="17" t="n">
        <f aca="false">O111-P111</f>
        <v>434.328000000001</v>
      </c>
      <c r="R111" s="15" t="s">
        <v>46</v>
      </c>
      <c r="S111" s="15" t="s">
        <v>47</v>
      </c>
    </row>
    <row r="112" customFormat="false" ht="15" hidden="false" customHeight="true" outlineLevel="0" collapsed="false">
      <c r="A112" s="11" t="s">
        <v>248</v>
      </c>
      <c r="B112" s="12" t="n">
        <v>45385</v>
      </c>
      <c r="C112" s="11" t="s">
        <v>38</v>
      </c>
      <c r="D112" s="11" t="s">
        <v>39</v>
      </c>
      <c r="E112" s="11" t="s">
        <v>40</v>
      </c>
      <c r="F112" s="11" t="s">
        <v>135</v>
      </c>
      <c r="G112" s="11" t="s">
        <v>52</v>
      </c>
      <c r="H112" s="11" t="s">
        <v>78</v>
      </c>
      <c r="I112" s="11" t="s">
        <v>154</v>
      </c>
      <c r="J112" s="11" t="s">
        <v>186</v>
      </c>
      <c r="K112" s="13" t="n">
        <v>822.75</v>
      </c>
      <c r="L112" s="11" t="n">
        <v>7</v>
      </c>
      <c r="M112" s="14" t="n">
        <v>0.1</v>
      </c>
      <c r="N112" s="13" t="n">
        <v>674.35</v>
      </c>
      <c r="O112" s="13" t="n">
        <f aca="false">K112*L112*(1-M112)</f>
        <v>5183.325</v>
      </c>
      <c r="P112" s="13" t="n">
        <f aca="false">N112*L112</f>
        <v>4720.45</v>
      </c>
      <c r="Q112" s="13" t="n">
        <f aca="false">O112-P112</f>
        <v>462.875</v>
      </c>
      <c r="R112" s="11" t="s">
        <v>114</v>
      </c>
      <c r="S112" s="11" t="s">
        <v>47</v>
      </c>
    </row>
    <row r="113" customFormat="false" ht="15" hidden="false" customHeight="true" outlineLevel="0" collapsed="false">
      <c r="A113" s="15" t="s">
        <v>249</v>
      </c>
      <c r="B113" s="16" t="n">
        <v>45386</v>
      </c>
      <c r="C113" s="15" t="s">
        <v>65</v>
      </c>
      <c r="D113" s="15" t="s">
        <v>116</v>
      </c>
      <c r="E113" s="15" t="s">
        <v>117</v>
      </c>
      <c r="F113" s="15" t="s">
        <v>41</v>
      </c>
      <c r="G113" s="15" t="s">
        <v>42</v>
      </c>
      <c r="H113" s="15" t="s">
        <v>43</v>
      </c>
      <c r="I113" s="15" t="s">
        <v>44</v>
      </c>
      <c r="J113" s="15" t="s">
        <v>106</v>
      </c>
      <c r="K113" s="17" t="n">
        <v>245.5</v>
      </c>
      <c r="L113" s="15" t="n">
        <v>13</v>
      </c>
      <c r="M113" s="18" t="n">
        <v>0.05</v>
      </c>
      <c r="N113" s="17" t="n">
        <v>71.96</v>
      </c>
      <c r="O113" s="17" t="n">
        <f aca="false">K113*L113*(1-M113)</f>
        <v>3031.925</v>
      </c>
      <c r="P113" s="17" t="n">
        <f aca="false">N113*L113</f>
        <v>935.48</v>
      </c>
      <c r="Q113" s="17" t="n">
        <f aca="false">O113-P113</f>
        <v>2096.445</v>
      </c>
      <c r="R113" s="15" t="s">
        <v>114</v>
      </c>
      <c r="S113" s="15" t="s">
        <v>47</v>
      </c>
    </row>
    <row r="114" customFormat="false" ht="15" hidden="false" customHeight="true" outlineLevel="0" collapsed="false">
      <c r="A114" s="11" t="s">
        <v>250</v>
      </c>
      <c r="B114" s="12" t="n">
        <v>45387</v>
      </c>
      <c r="C114" s="11" t="s">
        <v>65</v>
      </c>
      <c r="D114" s="11" t="s">
        <v>82</v>
      </c>
      <c r="E114" s="11" t="s">
        <v>83</v>
      </c>
      <c r="F114" s="11" t="s">
        <v>99</v>
      </c>
      <c r="G114" s="11" t="s">
        <v>42</v>
      </c>
      <c r="H114" s="11" t="s">
        <v>78</v>
      </c>
      <c r="I114" s="11" t="s">
        <v>143</v>
      </c>
      <c r="J114" s="11" t="s">
        <v>144</v>
      </c>
      <c r="K114" s="13" t="n">
        <v>1763.37</v>
      </c>
      <c r="L114" s="11" t="n">
        <v>16</v>
      </c>
      <c r="M114" s="14" t="n">
        <v>0</v>
      </c>
      <c r="N114" s="13" t="n">
        <v>1516.49</v>
      </c>
      <c r="O114" s="13" t="n">
        <f aca="false">K114*L114*(1-M114)</f>
        <v>28213.92</v>
      </c>
      <c r="P114" s="13" t="n">
        <f aca="false">N114*L114</f>
        <v>24263.84</v>
      </c>
      <c r="Q114" s="13" t="n">
        <f aca="false">O114-P114</f>
        <v>3950.08</v>
      </c>
      <c r="R114" s="11" t="s">
        <v>46</v>
      </c>
      <c r="S114" s="11" t="s">
        <v>47</v>
      </c>
    </row>
    <row r="115" customFormat="false" ht="15" hidden="false" customHeight="true" outlineLevel="0" collapsed="false">
      <c r="A115" s="15" t="s">
        <v>251</v>
      </c>
      <c r="B115" s="16" t="n">
        <v>45387</v>
      </c>
      <c r="C115" s="15" t="s">
        <v>49</v>
      </c>
      <c r="D115" s="15" t="s">
        <v>50</v>
      </c>
      <c r="E115" s="15" t="s">
        <v>50</v>
      </c>
      <c r="F115" s="15" t="s">
        <v>51</v>
      </c>
      <c r="G115" s="15" t="s">
        <v>52</v>
      </c>
      <c r="H115" s="15" t="s">
        <v>53</v>
      </c>
      <c r="I115" s="15" t="s">
        <v>54</v>
      </c>
      <c r="J115" s="15" t="s">
        <v>113</v>
      </c>
      <c r="K115" s="17" t="n">
        <v>26.85</v>
      </c>
      <c r="L115" s="15" t="n">
        <v>152</v>
      </c>
      <c r="M115" s="18" t="n">
        <v>0</v>
      </c>
      <c r="N115" s="17" t="n">
        <v>18.82</v>
      </c>
      <c r="O115" s="17" t="n">
        <f aca="false">K115*L115*(1-M115)</f>
        <v>4081.2</v>
      </c>
      <c r="P115" s="17" t="n">
        <f aca="false">N115*L115</f>
        <v>2860.64</v>
      </c>
      <c r="Q115" s="17" t="n">
        <f aca="false">O115-P115</f>
        <v>1220.56</v>
      </c>
      <c r="R115" s="15" t="s">
        <v>46</v>
      </c>
      <c r="S115" s="15" t="s">
        <v>187</v>
      </c>
    </row>
    <row r="116" customFormat="false" ht="15" hidden="false" customHeight="true" outlineLevel="0" collapsed="false">
      <c r="A116" s="11" t="s">
        <v>252</v>
      </c>
      <c r="B116" s="12" t="n">
        <v>45391</v>
      </c>
      <c r="C116" s="11" t="s">
        <v>49</v>
      </c>
      <c r="D116" s="11" t="s">
        <v>50</v>
      </c>
      <c r="E116" s="11" t="s">
        <v>50</v>
      </c>
      <c r="F116" s="11" t="s">
        <v>109</v>
      </c>
      <c r="G116" s="11" t="s">
        <v>52</v>
      </c>
      <c r="H116" s="11" t="s">
        <v>78</v>
      </c>
      <c r="I116" s="11" t="s">
        <v>120</v>
      </c>
      <c r="J116" s="11" t="s">
        <v>235</v>
      </c>
      <c r="K116" s="13" t="n">
        <v>62.95</v>
      </c>
      <c r="L116" s="11" t="n">
        <v>35</v>
      </c>
      <c r="M116" s="14" t="n">
        <v>0.05</v>
      </c>
      <c r="N116" s="13" t="n">
        <v>44.77</v>
      </c>
      <c r="O116" s="13" t="n">
        <f aca="false">K116*L116*(1-M116)</f>
        <v>2093.0875</v>
      </c>
      <c r="P116" s="13" t="n">
        <f aca="false">N116*L116</f>
        <v>1566.95</v>
      </c>
      <c r="Q116" s="13" t="n">
        <f aca="false">O116-P116</f>
        <v>526.1375</v>
      </c>
      <c r="R116" s="11" t="s">
        <v>46</v>
      </c>
      <c r="S116" s="11" t="s">
        <v>47</v>
      </c>
    </row>
    <row r="117" customFormat="false" ht="15" hidden="false" customHeight="true" outlineLevel="0" collapsed="false">
      <c r="A117" s="15" t="s">
        <v>253</v>
      </c>
      <c r="B117" s="16" t="n">
        <v>45392</v>
      </c>
      <c r="C117" s="15" t="s">
        <v>49</v>
      </c>
      <c r="D117" s="15" t="s">
        <v>152</v>
      </c>
      <c r="E117" s="15" t="s">
        <v>152</v>
      </c>
      <c r="F117" s="15" t="s">
        <v>135</v>
      </c>
      <c r="G117" s="15" t="s">
        <v>52</v>
      </c>
      <c r="H117" s="15" t="s">
        <v>53</v>
      </c>
      <c r="I117" s="15" t="s">
        <v>54</v>
      </c>
      <c r="J117" s="15" t="s">
        <v>113</v>
      </c>
      <c r="K117" s="17" t="n">
        <v>20.59</v>
      </c>
      <c r="L117" s="15" t="n">
        <v>134</v>
      </c>
      <c r="M117" s="18" t="n">
        <v>0.05</v>
      </c>
      <c r="N117" s="17" t="n">
        <v>12.26</v>
      </c>
      <c r="O117" s="17" t="n">
        <f aca="false">K117*L117*(1-M117)</f>
        <v>2621.107</v>
      </c>
      <c r="P117" s="17" t="n">
        <f aca="false">N117*L117</f>
        <v>1642.84</v>
      </c>
      <c r="Q117" s="17" t="n">
        <f aca="false">O117-P117</f>
        <v>978.267</v>
      </c>
      <c r="R117" s="15" t="s">
        <v>46</v>
      </c>
      <c r="S117" s="15" t="s">
        <v>47</v>
      </c>
    </row>
    <row r="118" customFormat="false" ht="15" hidden="false" customHeight="true" outlineLevel="0" collapsed="false">
      <c r="A118" s="11" t="s">
        <v>254</v>
      </c>
      <c r="B118" s="12" t="n">
        <v>45393</v>
      </c>
      <c r="C118" s="11" t="s">
        <v>49</v>
      </c>
      <c r="D118" s="11" t="s">
        <v>97</v>
      </c>
      <c r="E118" s="11" t="s">
        <v>112</v>
      </c>
      <c r="F118" s="11" t="s">
        <v>68</v>
      </c>
      <c r="G118" s="11" t="s">
        <v>126</v>
      </c>
      <c r="H118" s="11" t="s">
        <v>53</v>
      </c>
      <c r="I118" s="11" t="s">
        <v>94</v>
      </c>
      <c r="J118" s="11" t="s">
        <v>95</v>
      </c>
      <c r="K118" s="13" t="n">
        <v>23.89</v>
      </c>
      <c r="L118" s="11" t="n">
        <v>108</v>
      </c>
      <c r="M118" s="14" t="n">
        <v>0.05</v>
      </c>
      <c r="N118" s="13" t="n">
        <v>14.17</v>
      </c>
      <c r="O118" s="13" t="n">
        <f aca="false">K118*L118*(1-M118)</f>
        <v>2451.114</v>
      </c>
      <c r="P118" s="13" t="n">
        <f aca="false">N118*L118</f>
        <v>1530.36</v>
      </c>
      <c r="Q118" s="13" t="n">
        <f aca="false">O118-P118</f>
        <v>920.754</v>
      </c>
      <c r="R118" s="11" t="s">
        <v>46</v>
      </c>
      <c r="S118" s="11" t="s">
        <v>47</v>
      </c>
    </row>
    <row r="119" customFormat="false" ht="15" hidden="false" customHeight="true" outlineLevel="0" collapsed="false">
      <c r="A119" s="15" t="s">
        <v>255</v>
      </c>
      <c r="B119" s="16" t="n">
        <v>45394</v>
      </c>
      <c r="C119" s="15" t="s">
        <v>49</v>
      </c>
      <c r="D119" s="15" t="s">
        <v>97</v>
      </c>
      <c r="E119" s="15" t="s">
        <v>98</v>
      </c>
      <c r="F119" s="15" t="s">
        <v>51</v>
      </c>
      <c r="G119" s="15" t="s">
        <v>42</v>
      </c>
      <c r="H119" s="15" t="s">
        <v>84</v>
      </c>
      <c r="I119" s="15" t="s">
        <v>136</v>
      </c>
      <c r="J119" s="15" t="s">
        <v>137</v>
      </c>
      <c r="K119" s="17" t="n">
        <v>190.92</v>
      </c>
      <c r="L119" s="15" t="n">
        <v>5</v>
      </c>
      <c r="M119" s="18" t="n">
        <v>0.05</v>
      </c>
      <c r="N119" s="17" t="n">
        <v>146.96</v>
      </c>
      <c r="O119" s="17" t="n">
        <f aca="false">K119*L119*(1-M119)</f>
        <v>906.87</v>
      </c>
      <c r="P119" s="17" t="n">
        <f aca="false">N119*L119</f>
        <v>734.8</v>
      </c>
      <c r="Q119" s="17" t="n">
        <f aca="false">O119-P119</f>
        <v>172.07</v>
      </c>
      <c r="R119" s="15" t="s">
        <v>46</v>
      </c>
      <c r="S119" s="15" t="s">
        <v>72</v>
      </c>
    </row>
    <row r="120" customFormat="false" ht="15" hidden="false" customHeight="true" outlineLevel="0" collapsed="false">
      <c r="A120" s="11" t="s">
        <v>256</v>
      </c>
      <c r="B120" s="12" t="n">
        <v>45394</v>
      </c>
      <c r="C120" s="11" t="s">
        <v>65</v>
      </c>
      <c r="D120" s="11" t="s">
        <v>149</v>
      </c>
      <c r="E120" s="11" t="s">
        <v>150</v>
      </c>
      <c r="F120" s="11" t="s">
        <v>41</v>
      </c>
      <c r="G120" s="11" t="s">
        <v>126</v>
      </c>
      <c r="H120" s="11" t="s">
        <v>78</v>
      </c>
      <c r="I120" s="11" t="s">
        <v>120</v>
      </c>
      <c r="J120" s="11" t="s">
        <v>232</v>
      </c>
      <c r="K120" s="13" t="n">
        <v>236.22</v>
      </c>
      <c r="L120" s="11" t="n">
        <v>28</v>
      </c>
      <c r="M120" s="14" t="n">
        <v>0.15</v>
      </c>
      <c r="N120" s="13" t="n">
        <v>192.3</v>
      </c>
      <c r="O120" s="13" t="n">
        <f aca="false">K120*L120*(1-M120)</f>
        <v>5622.036</v>
      </c>
      <c r="P120" s="13" t="n">
        <f aca="false">N120*L120</f>
        <v>5384.4</v>
      </c>
      <c r="Q120" s="13" t="n">
        <f aca="false">O120-P120</f>
        <v>237.636</v>
      </c>
      <c r="R120" s="11" t="s">
        <v>46</v>
      </c>
      <c r="S120" s="11" t="s">
        <v>47</v>
      </c>
    </row>
    <row r="121" customFormat="false" ht="15" hidden="false" customHeight="true" outlineLevel="0" collapsed="false">
      <c r="A121" s="15" t="s">
        <v>257</v>
      </c>
      <c r="B121" s="16" t="n">
        <v>45395</v>
      </c>
      <c r="C121" s="15" t="s">
        <v>65</v>
      </c>
      <c r="D121" s="15" t="s">
        <v>149</v>
      </c>
      <c r="E121" s="15" t="s">
        <v>150</v>
      </c>
      <c r="F121" s="15" t="s">
        <v>123</v>
      </c>
      <c r="G121" s="15" t="s">
        <v>126</v>
      </c>
      <c r="H121" s="15" t="s">
        <v>53</v>
      </c>
      <c r="I121" s="15" t="s">
        <v>54</v>
      </c>
      <c r="J121" s="15" t="s">
        <v>113</v>
      </c>
      <c r="K121" s="17" t="n">
        <v>13.09</v>
      </c>
      <c r="L121" s="15" t="n">
        <v>54</v>
      </c>
      <c r="M121" s="18" t="n">
        <v>0.1</v>
      </c>
      <c r="N121" s="17" t="n">
        <v>9.01</v>
      </c>
      <c r="O121" s="17" t="n">
        <f aca="false">K121*L121*(1-M121)</f>
        <v>636.174</v>
      </c>
      <c r="P121" s="17" t="n">
        <f aca="false">N121*L121</f>
        <v>486.54</v>
      </c>
      <c r="Q121" s="17" t="n">
        <f aca="false">O121-P121</f>
        <v>149.634</v>
      </c>
      <c r="R121" s="15" t="s">
        <v>114</v>
      </c>
      <c r="S121" s="15" t="s">
        <v>47</v>
      </c>
    </row>
    <row r="122" customFormat="false" ht="15" hidden="false" customHeight="true" outlineLevel="0" collapsed="false">
      <c r="A122" s="11" t="s">
        <v>258</v>
      </c>
      <c r="B122" s="12" t="n">
        <v>45395</v>
      </c>
      <c r="C122" s="11" t="s">
        <v>49</v>
      </c>
      <c r="D122" s="11" t="s">
        <v>97</v>
      </c>
      <c r="E122" s="11" t="s">
        <v>108</v>
      </c>
      <c r="F122" s="11" t="s">
        <v>51</v>
      </c>
      <c r="G122" s="11" t="s">
        <v>42</v>
      </c>
      <c r="H122" s="11" t="s">
        <v>53</v>
      </c>
      <c r="I122" s="11" t="s">
        <v>94</v>
      </c>
      <c r="J122" s="11" t="s">
        <v>131</v>
      </c>
      <c r="K122" s="13" t="n">
        <v>22.38</v>
      </c>
      <c r="L122" s="11" t="n">
        <v>88</v>
      </c>
      <c r="M122" s="14" t="n">
        <v>0.2</v>
      </c>
      <c r="N122" s="13" t="n">
        <v>13.66</v>
      </c>
      <c r="O122" s="13" t="n">
        <f aca="false">K122*L122*(1-M122)</f>
        <v>1575.552</v>
      </c>
      <c r="P122" s="13" t="n">
        <f aca="false">N122*L122</f>
        <v>1202.08</v>
      </c>
      <c r="Q122" s="13" t="n">
        <f aca="false">O122-P122</f>
        <v>373.472</v>
      </c>
      <c r="R122" s="11" t="s">
        <v>114</v>
      </c>
      <c r="S122" s="11" t="s">
        <v>47</v>
      </c>
    </row>
    <row r="123" customFormat="false" ht="15" hidden="false" customHeight="true" outlineLevel="0" collapsed="false">
      <c r="A123" s="15" t="s">
        <v>259</v>
      </c>
      <c r="B123" s="16" t="n">
        <v>45397</v>
      </c>
      <c r="C123" s="15" t="s">
        <v>49</v>
      </c>
      <c r="D123" s="15" t="s">
        <v>152</v>
      </c>
      <c r="E123" s="15" t="s">
        <v>152</v>
      </c>
      <c r="F123" s="15" t="s">
        <v>99</v>
      </c>
      <c r="G123" s="15" t="s">
        <v>52</v>
      </c>
      <c r="H123" s="15" t="s">
        <v>53</v>
      </c>
      <c r="I123" s="15" t="s">
        <v>54</v>
      </c>
      <c r="J123" s="15" t="s">
        <v>55</v>
      </c>
      <c r="K123" s="17" t="n">
        <v>10.05</v>
      </c>
      <c r="L123" s="15" t="n">
        <v>150</v>
      </c>
      <c r="M123" s="18" t="n">
        <v>0</v>
      </c>
      <c r="N123" s="17" t="n">
        <v>6.02</v>
      </c>
      <c r="O123" s="17" t="n">
        <f aca="false">K123*L123*(1-M123)</f>
        <v>1507.5</v>
      </c>
      <c r="P123" s="17" t="n">
        <f aca="false">N123*L123</f>
        <v>903</v>
      </c>
      <c r="Q123" s="17" t="n">
        <f aca="false">O123-P123</f>
        <v>604.5</v>
      </c>
      <c r="R123" s="15" t="s">
        <v>114</v>
      </c>
      <c r="S123" s="15" t="s">
        <v>47</v>
      </c>
    </row>
    <row r="124" customFormat="false" ht="15" hidden="false" customHeight="true" outlineLevel="0" collapsed="false">
      <c r="A124" s="11" t="s">
        <v>260</v>
      </c>
      <c r="B124" s="12" t="n">
        <v>45398</v>
      </c>
      <c r="C124" s="11" t="s">
        <v>49</v>
      </c>
      <c r="D124" s="11" t="s">
        <v>50</v>
      </c>
      <c r="E124" s="11" t="s">
        <v>50</v>
      </c>
      <c r="F124" s="11" t="s">
        <v>60</v>
      </c>
      <c r="G124" s="11" t="s">
        <v>52</v>
      </c>
      <c r="H124" s="11" t="s">
        <v>78</v>
      </c>
      <c r="I124" s="11" t="s">
        <v>120</v>
      </c>
      <c r="J124" s="11" t="s">
        <v>121</v>
      </c>
      <c r="K124" s="13" t="n">
        <v>229.41</v>
      </c>
      <c r="L124" s="11" t="n">
        <v>40</v>
      </c>
      <c r="M124" s="14" t="n">
        <v>0.05</v>
      </c>
      <c r="N124" s="13" t="n">
        <v>162.51</v>
      </c>
      <c r="O124" s="13" t="n">
        <f aca="false">K124*L124*(1-M124)</f>
        <v>8717.58</v>
      </c>
      <c r="P124" s="13" t="n">
        <f aca="false">N124*L124</f>
        <v>6500.4</v>
      </c>
      <c r="Q124" s="13" t="n">
        <f aca="false">O124-P124</f>
        <v>2217.18</v>
      </c>
      <c r="R124" s="11" t="s">
        <v>46</v>
      </c>
      <c r="S124" s="11" t="s">
        <v>47</v>
      </c>
    </row>
    <row r="125" customFormat="false" ht="15" hidden="false" customHeight="true" outlineLevel="0" collapsed="false">
      <c r="A125" s="15" t="s">
        <v>261</v>
      </c>
      <c r="B125" s="16" t="n">
        <v>45398</v>
      </c>
      <c r="C125" s="15" t="s">
        <v>38</v>
      </c>
      <c r="D125" s="15" t="s">
        <v>92</v>
      </c>
      <c r="E125" s="15" t="s">
        <v>93</v>
      </c>
      <c r="F125" s="15" t="s">
        <v>135</v>
      </c>
      <c r="G125" s="15" t="s">
        <v>52</v>
      </c>
      <c r="H125" s="15" t="s">
        <v>53</v>
      </c>
      <c r="I125" s="15" t="s">
        <v>94</v>
      </c>
      <c r="J125" s="15" t="s">
        <v>95</v>
      </c>
      <c r="K125" s="17" t="n">
        <v>41.43</v>
      </c>
      <c r="L125" s="15" t="n">
        <v>100</v>
      </c>
      <c r="M125" s="18" t="n">
        <v>0</v>
      </c>
      <c r="N125" s="17" t="n">
        <v>26.87</v>
      </c>
      <c r="O125" s="17" t="n">
        <f aca="false">K125*L125*(1-M125)</f>
        <v>4143</v>
      </c>
      <c r="P125" s="17" t="n">
        <f aca="false">N125*L125</f>
        <v>2687</v>
      </c>
      <c r="Q125" s="17" t="n">
        <f aca="false">O125-P125</f>
        <v>1456</v>
      </c>
      <c r="R125" s="15" t="s">
        <v>71</v>
      </c>
      <c r="S125" s="15" t="s">
        <v>47</v>
      </c>
    </row>
    <row r="126" customFormat="false" ht="15" hidden="false" customHeight="true" outlineLevel="0" collapsed="false">
      <c r="A126" s="11" t="s">
        <v>262</v>
      </c>
      <c r="B126" s="12" t="n">
        <v>45398</v>
      </c>
      <c r="C126" s="11" t="s">
        <v>49</v>
      </c>
      <c r="D126" s="11" t="s">
        <v>97</v>
      </c>
      <c r="E126" s="11" t="s">
        <v>112</v>
      </c>
      <c r="F126" s="11" t="s">
        <v>51</v>
      </c>
      <c r="G126" s="11" t="s">
        <v>52</v>
      </c>
      <c r="H126" s="11" t="s">
        <v>43</v>
      </c>
      <c r="I126" s="11" t="s">
        <v>44</v>
      </c>
      <c r="J126" s="11" t="s">
        <v>45</v>
      </c>
      <c r="K126" s="13" t="n">
        <v>121.06</v>
      </c>
      <c r="L126" s="11" t="n">
        <v>68</v>
      </c>
      <c r="M126" s="14" t="n">
        <v>0.15</v>
      </c>
      <c r="N126" s="13" t="n">
        <v>42.13</v>
      </c>
      <c r="O126" s="13" t="n">
        <f aca="false">K126*L126*(1-M126)</f>
        <v>6997.268</v>
      </c>
      <c r="P126" s="13" t="n">
        <f aca="false">N126*L126</f>
        <v>2864.84</v>
      </c>
      <c r="Q126" s="13" t="n">
        <f aca="false">O126-P126</f>
        <v>4132.428</v>
      </c>
      <c r="R126" s="11" t="s">
        <v>114</v>
      </c>
      <c r="S126" s="11" t="s">
        <v>72</v>
      </c>
    </row>
    <row r="127" customFormat="false" ht="15" hidden="false" customHeight="true" outlineLevel="0" collapsed="false">
      <c r="A127" s="15" t="s">
        <v>263</v>
      </c>
      <c r="B127" s="16" t="n">
        <v>45400</v>
      </c>
      <c r="C127" s="15" t="s">
        <v>65</v>
      </c>
      <c r="D127" s="15" t="s">
        <v>149</v>
      </c>
      <c r="E127" s="15" t="s">
        <v>150</v>
      </c>
      <c r="F127" s="15" t="s">
        <v>109</v>
      </c>
      <c r="G127" s="15" t="s">
        <v>126</v>
      </c>
      <c r="H127" s="15" t="s">
        <v>84</v>
      </c>
      <c r="I127" s="15" t="s">
        <v>136</v>
      </c>
      <c r="J127" s="15" t="s">
        <v>137</v>
      </c>
      <c r="K127" s="17" t="n">
        <v>366.99</v>
      </c>
      <c r="L127" s="15" t="n">
        <v>6</v>
      </c>
      <c r="M127" s="18" t="n">
        <v>0.05</v>
      </c>
      <c r="N127" s="17" t="n">
        <v>261.08</v>
      </c>
      <c r="O127" s="17" t="n">
        <f aca="false">K127*L127*(1-M127)</f>
        <v>2091.843</v>
      </c>
      <c r="P127" s="17" t="n">
        <f aca="false">N127*L127</f>
        <v>1566.48</v>
      </c>
      <c r="Q127" s="17" t="n">
        <f aca="false">O127-P127</f>
        <v>525.363</v>
      </c>
      <c r="R127" s="15" t="s">
        <v>63</v>
      </c>
      <c r="S127" s="15" t="s">
        <v>187</v>
      </c>
    </row>
    <row r="128" customFormat="false" ht="15" hidden="false" customHeight="true" outlineLevel="0" collapsed="false">
      <c r="A128" s="11" t="s">
        <v>264</v>
      </c>
      <c r="B128" s="12" t="n">
        <v>45401</v>
      </c>
      <c r="C128" s="11" t="s">
        <v>65</v>
      </c>
      <c r="D128" s="11" t="s">
        <v>116</v>
      </c>
      <c r="E128" s="11" t="s">
        <v>117</v>
      </c>
      <c r="F128" s="11" t="s">
        <v>68</v>
      </c>
      <c r="G128" s="11" t="s">
        <v>126</v>
      </c>
      <c r="H128" s="11" t="s">
        <v>78</v>
      </c>
      <c r="I128" s="11" t="s">
        <v>120</v>
      </c>
      <c r="J128" s="11" t="s">
        <v>121</v>
      </c>
      <c r="K128" s="13" t="n">
        <v>338.28</v>
      </c>
      <c r="L128" s="11" t="n">
        <v>38</v>
      </c>
      <c r="M128" s="14" t="n">
        <v>0</v>
      </c>
      <c r="N128" s="13" t="n">
        <v>244.98</v>
      </c>
      <c r="O128" s="13" t="n">
        <f aca="false">K128*L128*(1-M128)</f>
        <v>12854.64</v>
      </c>
      <c r="P128" s="13" t="n">
        <f aca="false">N128*L128</f>
        <v>9309.24</v>
      </c>
      <c r="Q128" s="13" t="n">
        <f aca="false">O128-P128</f>
        <v>3545.4</v>
      </c>
      <c r="R128" s="11" t="s">
        <v>114</v>
      </c>
      <c r="S128" s="11" t="s">
        <v>47</v>
      </c>
    </row>
    <row r="129" customFormat="false" ht="15" hidden="false" customHeight="true" outlineLevel="0" collapsed="false">
      <c r="A129" s="15" t="s">
        <v>265</v>
      </c>
      <c r="B129" s="16" t="n">
        <v>45402</v>
      </c>
      <c r="C129" s="15" t="s">
        <v>65</v>
      </c>
      <c r="D129" s="15" t="s">
        <v>82</v>
      </c>
      <c r="E129" s="15" t="s">
        <v>83</v>
      </c>
      <c r="F129" s="15" t="s">
        <v>118</v>
      </c>
      <c r="G129" s="15" t="s">
        <v>52</v>
      </c>
      <c r="H129" s="15" t="s">
        <v>78</v>
      </c>
      <c r="I129" s="15" t="s">
        <v>120</v>
      </c>
      <c r="J129" s="15" t="s">
        <v>232</v>
      </c>
      <c r="K129" s="17" t="n">
        <v>220.44</v>
      </c>
      <c r="L129" s="15" t="n">
        <v>55</v>
      </c>
      <c r="M129" s="18" t="n">
        <v>0</v>
      </c>
      <c r="N129" s="17" t="n">
        <v>155.51</v>
      </c>
      <c r="O129" s="17" t="n">
        <f aca="false">K129*L129*(1-M129)</f>
        <v>12124.2</v>
      </c>
      <c r="P129" s="17" t="n">
        <f aca="false">N129*L129</f>
        <v>8553.05</v>
      </c>
      <c r="Q129" s="17" t="n">
        <f aca="false">O129-P129</f>
        <v>3571.15</v>
      </c>
      <c r="R129" s="15" t="s">
        <v>46</v>
      </c>
      <c r="S129" s="15" t="s">
        <v>124</v>
      </c>
    </row>
    <row r="130" customFormat="false" ht="15" hidden="false" customHeight="true" outlineLevel="0" collapsed="false">
      <c r="A130" s="11" t="s">
        <v>266</v>
      </c>
      <c r="B130" s="12" t="n">
        <v>45403</v>
      </c>
      <c r="C130" s="11" t="s">
        <v>49</v>
      </c>
      <c r="D130" s="11" t="s">
        <v>152</v>
      </c>
      <c r="E130" s="11" t="s">
        <v>152</v>
      </c>
      <c r="F130" s="11" t="s">
        <v>123</v>
      </c>
      <c r="G130" s="11" t="s">
        <v>42</v>
      </c>
      <c r="H130" s="11" t="s">
        <v>53</v>
      </c>
      <c r="I130" s="11" t="s">
        <v>69</v>
      </c>
      <c r="J130" s="11" t="s">
        <v>70</v>
      </c>
      <c r="K130" s="13" t="n">
        <v>25.7</v>
      </c>
      <c r="L130" s="11" t="n">
        <v>75</v>
      </c>
      <c r="M130" s="14" t="n">
        <v>0.15</v>
      </c>
      <c r="N130" s="13" t="n">
        <v>16.21</v>
      </c>
      <c r="O130" s="13" t="n">
        <f aca="false">K130*L130*(1-M130)</f>
        <v>1638.375</v>
      </c>
      <c r="P130" s="13" t="n">
        <f aca="false">N130*L130</f>
        <v>1215.75</v>
      </c>
      <c r="Q130" s="13" t="n">
        <f aca="false">O130-P130</f>
        <v>422.625</v>
      </c>
      <c r="R130" s="11" t="s">
        <v>114</v>
      </c>
      <c r="S130" s="11" t="s">
        <v>47</v>
      </c>
    </row>
    <row r="131" customFormat="false" ht="15" hidden="false" customHeight="true" outlineLevel="0" collapsed="false">
      <c r="A131" s="15" t="s">
        <v>267</v>
      </c>
      <c r="B131" s="16" t="n">
        <v>45403</v>
      </c>
      <c r="C131" s="15" t="s">
        <v>38</v>
      </c>
      <c r="D131" s="15" t="s">
        <v>39</v>
      </c>
      <c r="E131" s="15" t="s">
        <v>40</v>
      </c>
      <c r="F131" s="15" t="s">
        <v>41</v>
      </c>
      <c r="G131" s="15" t="s">
        <v>77</v>
      </c>
      <c r="H131" s="15" t="s">
        <v>84</v>
      </c>
      <c r="I131" s="15" t="s">
        <v>85</v>
      </c>
      <c r="J131" s="15" t="s">
        <v>86</v>
      </c>
      <c r="K131" s="17" t="n">
        <v>596.83</v>
      </c>
      <c r="L131" s="15" t="n">
        <v>6</v>
      </c>
      <c r="M131" s="18" t="n">
        <v>0.1</v>
      </c>
      <c r="N131" s="17" t="n">
        <v>453.25</v>
      </c>
      <c r="O131" s="17" t="n">
        <f aca="false">K131*L131*(1-M131)</f>
        <v>3222.882</v>
      </c>
      <c r="P131" s="17" t="n">
        <f aca="false">N131*L131</f>
        <v>2719.5</v>
      </c>
      <c r="Q131" s="17" t="n">
        <f aca="false">O131-P131</f>
        <v>503.382000000001</v>
      </c>
      <c r="R131" s="15" t="s">
        <v>114</v>
      </c>
      <c r="S131" s="15" t="s">
        <v>47</v>
      </c>
    </row>
    <row r="132" customFormat="false" ht="15" hidden="false" customHeight="true" outlineLevel="0" collapsed="false">
      <c r="A132" s="11" t="s">
        <v>268</v>
      </c>
      <c r="B132" s="12" t="n">
        <v>45403</v>
      </c>
      <c r="C132" s="11" t="s">
        <v>65</v>
      </c>
      <c r="D132" s="11" t="s">
        <v>116</v>
      </c>
      <c r="E132" s="11" t="s">
        <v>117</v>
      </c>
      <c r="F132" s="11" t="s">
        <v>41</v>
      </c>
      <c r="G132" s="11" t="s">
        <v>42</v>
      </c>
      <c r="H132" s="11" t="s">
        <v>43</v>
      </c>
      <c r="I132" s="11" t="s">
        <v>61</v>
      </c>
      <c r="J132" s="11" t="s">
        <v>147</v>
      </c>
      <c r="K132" s="13" t="n">
        <v>341.68</v>
      </c>
      <c r="L132" s="11" t="n">
        <v>22</v>
      </c>
      <c r="M132" s="14" t="n">
        <v>0</v>
      </c>
      <c r="N132" s="13" t="n">
        <v>140.05</v>
      </c>
      <c r="O132" s="13" t="n">
        <f aca="false">K132*L132*(1-M132)</f>
        <v>7516.96</v>
      </c>
      <c r="P132" s="13" t="n">
        <f aca="false">N132*L132</f>
        <v>3081.1</v>
      </c>
      <c r="Q132" s="13" t="n">
        <f aca="false">O132-P132</f>
        <v>4435.86</v>
      </c>
      <c r="R132" s="11" t="s">
        <v>46</v>
      </c>
      <c r="S132" s="11" t="s">
        <v>72</v>
      </c>
    </row>
    <row r="133" customFormat="false" ht="15" hidden="false" customHeight="true" outlineLevel="0" collapsed="false">
      <c r="A133" s="15" t="s">
        <v>269</v>
      </c>
      <c r="B133" s="16" t="n">
        <v>45404</v>
      </c>
      <c r="C133" s="15" t="s">
        <v>49</v>
      </c>
      <c r="D133" s="15" t="s">
        <v>97</v>
      </c>
      <c r="E133" s="15" t="s">
        <v>112</v>
      </c>
      <c r="F133" s="15" t="s">
        <v>41</v>
      </c>
      <c r="G133" s="15" t="s">
        <v>42</v>
      </c>
      <c r="H133" s="15" t="s">
        <v>53</v>
      </c>
      <c r="I133" s="15" t="s">
        <v>94</v>
      </c>
      <c r="J133" s="15" t="s">
        <v>131</v>
      </c>
      <c r="K133" s="17" t="n">
        <v>22.94</v>
      </c>
      <c r="L133" s="15" t="n">
        <v>8</v>
      </c>
      <c r="M133" s="18" t="n">
        <v>0</v>
      </c>
      <c r="N133" s="17" t="n">
        <v>15.68</v>
      </c>
      <c r="O133" s="17" t="n">
        <f aca="false">K133*L133*(1-M133)</f>
        <v>183.52</v>
      </c>
      <c r="P133" s="17" t="n">
        <f aca="false">N133*L133</f>
        <v>125.44</v>
      </c>
      <c r="Q133" s="17" t="n">
        <f aca="false">O133-P133</f>
        <v>58.08</v>
      </c>
      <c r="R133" s="15" t="s">
        <v>46</v>
      </c>
      <c r="S133" s="15" t="s">
        <v>72</v>
      </c>
    </row>
    <row r="134" customFormat="false" ht="15" hidden="false" customHeight="true" outlineLevel="0" collapsed="false">
      <c r="A134" s="11" t="s">
        <v>270</v>
      </c>
      <c r="B134" s="12" t="n">
        <v>45404</v>
      </c>
      <c r="C134" s="11" t="s">
        <v>49</v>
      </c>
      <c r="D134" s="11" t="s">
        <v>97</v>
      </c>
      <c r="E134" s="11" t="s">
        <v>98</v>
      </c>
      <c r="F134" s="11" t="s">
        <v>68</v>
      </c>
      <c r="G134" s="11" t="s">
        <v>52</v>
      </c>
      <c r="H134" s="11" t="s">
        <v>84</v>
      </c>
      <c r="I134" s="11" t="s">
        <v>100</v>
      </c>
      <c r="J134" s="11" t="s">
        <v>139</v>
      </c>
      <c r="K134" s="13" t="n">
        <v>633.8</v>
      </c>
      <c r="L134" s="11" t="n">
        <v>19</v>
      </c>
      <c r="M134" s="14" t="n">
        <v>0.2</v>
      </c>
      <c r="N134" s="13" t="n">
        <v>463.13</v>
      </c>
      <c r="O134" s="13" t="n">
        <f aca="false">K134*L134*(1-M134)</f>
        <v>9633.76</v>
      </c>
      <c r="P134" s="13" t="n">
        <f aca="false">N134*L134</f>
        <v>8799.47</v>
      </c>
      <c r="Q134" s="13" t="n">
        <f aca="false">O134-P134</f>
        <v>834.290000000001</v>
      </c>
      <c r="R134" s="11" t="s">
        <v>167</v>
      </c>
      <c r="S134" s="11" t="s">
        <v>47</v>
      </c>
    </row>
    <row r="135" customFormat="false" ht="15" hidden="false" customHeight="true" outlineLevel="0" collapsed="false">
      <c r="A135" s="15" t="s">
        <v>271</v>
      </c>
      <c r="B135" s="16" t="n">
        <v>45405</v>
      </c>
      <c r="C135" s="15" t="s">
        <v>65</v>
      </c>
      <c r="D135" s="15" t="s">
        <v>116</v>
      </c>
      <c r="E135" s="15" t="s">
        <v>117</v>
      </c>
      <c r="F135" s="15" t="s">
        <v>118</v>
      </c>
      <c r="G135" s="15" t="s">
        <v>77</v>
      </c>
      <c r="H135" s="15" t="s">
        <v>84</v>
      </c>
      <c r="I135" s="15" t="s">
        <v>100</v>
      </c>
      <c r="J135" s="15" t="s">
        <v>139</v>
      </c>
      <c r="K135" s="17" t="n">
        <v>945.29</v>
      </c>
      <c r="L135" s="15" t="n">
        <v>24</v>
      </c>
      <c r="M135" s="18" t="n">
        <v>0</v>
      </c>
      <c r="N135" s="17" t="n">
        <v>697.01</v>
      </c>
      <c r="O135" s="17" t="n">
        <f aca="false">K135*L135*(1-M135)</f>
        <v>22686.96</v>
      </c>
      <c r="P135" s="17" t="n">
        <f aca="false">N135*L135</f>
        <v>16728.24</v>
      </c>
      <c r="Q135" s="17" t="n">
        <f aca="false">O135-P135</f>
        <v>5958.72</v>
      </c>
      <c r="R135" s="15" t="s">
        <v>63</v>
      </c>
      <c r="S135" s="15" t="s">
        <v>47</v>
      </c>
    </row>
    <row r="136" customFormat="false" ht="15" hidden="false" customHeight="true" outlineLevel="0" collapsed="false">
      <c r="A136" s="11" t="s">
        <v>272</v>
      </c>
      <c r="B136" s="12" t="n">
        <v>45405</v>
      </c>
      <c r="C136" s="11" t="s">
        <v>49</v>
      </c>
      <c r="D136" s="11" t="s">
        <v>97</v>
      </c>
      <c r="E136" s="11" t="s">
        <v>108</v>
      </c>
      <c r="F136" s="11" t="s">
        <v>118</v>
      </c>
      <c r="G136" s="11" t="s">
        <v>52</v>
      </c>
      <c r="H136" s="11" t="s">
        <v>78</v>
      </c>
      <c r="I136" s="11" t="s">
        <v>79</v>
      </c>
      <c r="J136" s="11" t="s">
        <v>80</v>
      </c>
      <c r="K136" s="13" t="n">
        <v>3117.05</v>
      </c>
      <c r="L136" s="11" t="n">
        <v>10</v>
      </c>
      <c r="M136" s="14" t="n">
        <v>0.1</v>
      </c>
      <c r="N136" s="13" t="n">
        <v>2594.52</v>
      </c>
      <c r="O136" s="13" t="n">
        <f aca="false">K136*L136*(1-M136)</f>
        <v>28053.45</v>
      </c>
      <c r="P136" s="13" t="n">
        <f aca="false">N136*L136</f>
        <v>25945.2</v>
      </c>
      <c r="Q136" s="13" t="n">
        <f aca="false">O136-P136</f>
        <v>2108.25</v>
      </c>
      <c r="R136" s="11" t="s">
        <v>63</v>
      </c>
      <c r="S136" s="11" t="s">
        <v>47</v>
      </c>
    </row>
    <row r="137" customFormat="false" ht="15" hidden="false" customHeight="true" outlineLevel="0" collapsed="false">
      <c r="A137" s="15" t="s">
        <v>273</v>
      </c>
      <c r="B137" s="16" t="n">
        <v>45406</v>
      </c>
      <c r="C137" s="15" t="s">
        <v>49</v>
      </c>
      <c r="D137" s="15" t="s">
        <v>50</v>
      </c>
      <c r="E137" s="15" t="s">
        <v>50</v>
      </c>
      <c r="F137" s="15" t="s">
        <v>177</v>
      </c>
      <c r="G137" s="15" t="s">
        <v>52</v>
      </c>
      <c r="H137" s="15" t="s">
        <v>53</v>
      </c>
      <c r="I137" s="15" t="s">
        <v>69</v>
      </c>
      <c r="J137" s="15" t="s">
        <v>70</v>
      </c>
      <c r="K137" s="17" t="n">
        <v>29.42</v>
      </c>
      <c r="L137" s="15" t="n">
        <v>27</v>
      </c>
      <c r="M137" s="18" t="n">
        <v>0</v>
      </c>
      <c r="N137" s="17" t="n">
        <v>18.56</v>
      </c>
      <c r="O137" s="17" t="n">
        <f aca="false">K137*L137*(1-M137)</f>
        <v>794.34</v>
      </c>
      <c r="P137" s="17" t="n">
        <f aca="false">N137*L137</f>
        <v>501.12</v>
      </c>
      <c r="Q137" s="17" t="n">
        <f aca="false">O137-P137</f>
        <v>293.22</v>
      </c>
      <c r="R137" s="15" t="s">
        <v>63</v>
      </c>
      <c r="S137" s="15" t="s">
        <v>72</v>
      </c>
    </row>
    <row r="138" customFormat="false" ht="15" hidden="false" customHeight="true" outlineLevel="0" collapsed="false">
      <c r="A138" s="11" t="s">
        <v>274</v>
      </c>
      <c r="B138" s="12" t="n">
        <v>45407</v>
      </c>
      <c r="C138" s="11" t="s">
        <v>38</v>
      </c>
      <c r="D138" s="11" t="s">
        <v>88</v>
      </c>
      <c r="E138" s="11" t="s">
        <v>89</v>
      </c>
      <c r="F138" s="11" t="s">
        <v>99</v>
      </c>
      <c r="G138" s="11" t="s">
        <v>52</v>
      </c>
      <c r="H138" s="11" t="s">
        <v>78</v>
      </c>
      <c r="I138" s="11" t="s">
        <v>79</v>
      </c>
      <c r="J138" s="11" t="s">
        <v>80</v>
      </c>
      <c r="K138" s="13" t="n">
        <v>3636.9</v>
      </c>
      <c r="L138" s="11" t="n">
        <v>12</v>
      </c>
      <c r="M138" s="14" t="n">
        <v>0.15</v>
      </c>
      <c r="N138" s="13" t="n">
        <v>2980.73</v>
      </c>
      <c r="O138" s="13" t="n">
        <f aca="false">K138*L138*(1-M138)</f>
        <v>37096.38</v>
      </c>
      <c r="P138" s="13" t="n">
        <f aca="false">N138*L138</f>
        <v>35768.76</v>
      </c>
      <c r="Q138" s="13" t="n">
        <f aca="false">O138-P138</f>
        <v>1327.62</v>
      </c>
      <c r="R138" s="11" t="s">
        <v>46</v>
      </c>
      <c r="S138" s="11" t="s">
        <v>47</v>
      </c>
    </row>
    <row r="139" customFormat="false" ht="15" hidden="false" customHeight="true" outlineLevel="0" collapsed="false">
      <c r="A139" s="15" t="s">
        <v>275</v>
      </c>
      <c r="B139" s="16" t="n">
        <v>45408</v>
      </c>
      <c r="C139" s="15" t="s">
        <v>49</v>
      </c>
      <c r="D139" s="15" t="s">
        <v>97</v>
      </c>
      <c r="E139" s="15" t="s">
        <v>108</v>
      </c>
      <c r="F139" s="15" t="s">
        <v>135</v>
      </c>
      <c r="G139" s="15" t="s">
        <v>52</v>
      </c>
      <c r="H139" s="15" t="s">
        <v>53</v>
      </c>
      <c r="I139" s="15" t="s">
        <v>69</v>
      </c>
      <c r="J139" s="15" t="s">
        <v>128</v>
      </c>
      <c r="K139" s="17" t="n">
        <v>18.23</v>
      </c>
      <c r="L139" s="15" t="n">
        <v>29</v>
      </c>
      <c r="M139" s="18" t="n">
        <v>0</v>
      </c>
      <c r="N139" s="17" t="n">
        <v>11.33</v>
      </c>
      <c r="O139" s="17" t="n">
        <f aca="false">K139*L139*(1-M139)</f>
        <v>528.67</v>
      </c>
      <c r="P139" s="17" t="n">
        <f aca="false">N139*L139</f>
        <v>328.57</v>
      </c>
      <c r="Q139" s="17" t="n">
        <f aca="false">O139-P139</f>
        <v>200.1</v>
      </c>
      <c r="R139" s="15" t="s">
        <v>114</v>
      </c>
      <c r="S139" s="15" t="s">
        <v>72</v>
      </c>
    </row>
    <row r="140" customFormat="false" ht="15" hidden="false" customHeight="true" outlineLevel="0" collapsed="false">
      <c r="A140" s="11" t="s">
        <v>276</v>
      </c>
      <c r="B140" s="12" t="n">
        <v>45410</v>
      </c>
      <c r="C140" s="11" t="s">
        <v>57</v>
      </c>
      <c r="D140" s="11" t="s">
        <v>162</v>
      </c>
      <c r="E140" s="11" t="s">
        <v>163</v>
      </c>
      <c r="F140" s="11" t="s">
        <v>109</v>
      </c>
      <c r="G140" s="11" t="s">
        <v>42</v>
      </c>
      <c r="H140" s="11" t="s">
        <v>84</v>
      </c>
      <c r="I140" s="11" t="s">
        <v>85</v>
      </c>
      <c r="J140" s="11" t="s">
        <v>86</v>
      </c>
      <c r="K140" s="13" t="n">
        <v>483.19</v>
      </c>
      <c r="L140" s="11" t="n">
        <v>5</v>
      </c>
      <c r="M140" s="14" t="n">
        <v>0.15</v>
      </c>
      <c r="N140" s="13" t="n">
        <v>369.88</v>
      </c>
      <c r="O140" s="13" t="n">
        <f aca="false">K140*L140*(1-M140)</f>
        <v>2053.5575</v>
      </c>
      <c r="P140" s="13" t="n">
        <f aca="false">N140*L140</f>
        <v>1849.4</v>
      </c>
      <c r="Q140" s="13" t="n">
        <f aca="false">O140-P140</f>
        <v>204.1575</v>
      </c>
      <c r="R140" s="11" t="s">
        <v>167</v>
      </c>
      <c r="S140" s="11" t="s">
        <v>47</v>
      </c>
    </row>
    <row r="141" customFormat="false" ht="15" hidden="false" customHeight="true" outlineLevel="0" collapsed="false">
      <c r="A141" s="15" t="s">
        <v>277</v>
      </c>
      <c r="B141" s="16" t="n">
        <v>45410</v>
      </c>
      <c r="C141" s="15" t="s">
        <v>49</v>
      </c>
      <c r="D141" s="15" t="s">
        <v>97</v>
      </c>
      <c r="E141" s="15" t="s">
        <v>108</v>
      </c>
      <c r="F141" s="15" t="s">
        <v>135</v>
      </c>
      <c r="G141" s="15" t="s">
        <v>77</v>
      </c>
      <c r="H141" s="15" t="s">
        <v>53</v>
      </c>
      <c r="I141" s="15" t="s">
        <v>69</v>
      </c>
      <c r="J141" s="15" t="s">
        <v>70</v>
      </c>
      <c r="K141" s="17" t="n">
        <v>26.74</v>
      </c>
      <c r="L141" s="15" t="n">
        <v>42</v>
      </c>
      <c r="M141" s="18" t="n">
        <v>0</v>
      </c>
      <c r="N141" s="17" t="n">
        <v>17.16</v>
      </c>
      <c r="O141" s="17" t="n">
        <f aca="false">K141*L141*(1-M141)</f>
        <v>1123.08</v>
      </c>
      <c r="P141" s="17" t="n">
        <f aca="false">N141*L141</f>
        <v>720.72</v>
      </c>
      <c r="Q141" s="17" t="n">
        <f aca="false">O141-P141</f>
        <v>402.36</v>
      </c>
      <c r="R141" s="15" t="s">
        <v>167</v>
      </c>
      <c r="S141" s="15" t="s">
        <v>47</v>
      </c>
    </row>
    <row r="142" customFormat="false" ht="15" hidden="false" customHeight="true" outlineLevel="0" collapsed="false">
      <c r="A142" s="11" t="s">
        <v>278</v>
      </c>
      <c r="B142" s="12" t="n">
        <v>45411</v>
      </c>
      <c r="C142" s="11" t="s">
        <v>49</v>
      </c>
      <c r="D142" s="11" t="s">
        <v>97</v>
      </c>
      <c r="E142" s="11" t="s">
        <v>112</v>
      </c>
      <c r="F142" s="11" t="s">
        <v>135</v>
      </c>
      <c r="G142" s="11" t="s">
        <v>126</v>
      </c>
      <c r="H142" s="11" t="s">
        <v>53</v>
      </c>
      <c r="I142" s="11" t="s">
        <v>94</v>
      </c>
      <c r="J142" s="11" t="s">
        <v>95</v>
      </c>
      <c r="K142" s="13" t="n">
        <v>34.82</v>
      </c>
      <c r="L142" s="11" t="n">
        <v>38</v>
      </c>
      <c r="M142" s="14" t="n">
        <v>0</v>
      </c>
      <c r="N142" s="13" t="n">
        <v>19.64</v>
      </c>
      <c r="O142" s="13" t="n">
        <f aca="false">K142*L142*(1-M142)</f>
        <v>1323.16</v>
      </c>
      <c r="P142" s="13" t="n">
        <f aca="false">N142*L142</f>
        <v>746.32</v>
      </c>
      <c r="Q142" s="13" t="n">
        <f aca="false">O142-P142</f>
        <v>576.84</v>
      </c>
      <c r="R142" s="11" t="s">
        <v>114</v>
      </c>
      <c r="S142" s="11" t="s">
        <v>72</v>
      </c>
    </row>
    <row r="143" customFormat="false" ht="15" hidden="false" customHeight="true" outlineLevel="0" collapsed="false">
      <c r="A143" s="15" t="s">
        <v>279</v>
      </c>
      <c r="B143" s="16" t="n">
        <v>45412</v>
      </c>
      <c r="C143" s="15" t="s">
        <v>65</v>
      </c>
      <c r="D143" s="15" t="s">
        <v>116</v>
      </c>
      <c r="E143" s="15" t="s">
        <v>117</v>
      </c>
      <c r="F143" s="15" t="s">
        <v>99</v>
      </c>
      <c r="G143" s="15" t="s">
        <v>42</v>
      </c>
      <c r="H143" s="15" t="s">
        <v>84</v>
      </c>
      <c r="I143" s="15" t="s">
        <v>136</v>
      </c>
      <c r="J143" s="15" t="s">
        <v>247</v>
      </c>
      <c r="K143" s="17" t="n">
        <v>514.04</v>
      </c>
      <c r="L143" s="15" t="n">
        <v>7</v>
      </c>
      <c r="M143" s="18" t="n">
        <v>0.05</v>
      </c>
      <c r="N143" s="17" t="n">
        <v>374.62</v>
      </c>
      <c r="O143" s="17" t="n">
        <f aca="false">K143*L143*(1-M143)</f>
        <v>3418.366</v>
      </c>
      <c r="P143" s="17" t="n">
        <f aca="false">N143*L143</f>
        <v>2622.34</v>
      </c>
      <c r="Q143" s="17" t="n">
        <f aca="false">O143-P143</f>
        <v>796.025999999999</v>
      </c>
      <c r="R143" s="15" t="s">
        <v>46</v>
      </c>
      <c r="S143" s="15" t="s">
        <v>47</v>
      </c>
    </row>
    <row r="144" customFormat="false" ht="15" hidden="false" customHeight="true" outlineLevel="0" collapsed="false">
      <c r="A144" s="11" t="s">
        <v>280</v>
      </c>
      <c r="B144" s="12" t="n">
        <v>45412</v>
      </c>
      <c r="C144" s="11" t="s">
        <v>74</v>
      </c>
      <c r="D144" s="11" t="s">
        <v>171</v>
      </c>
      <c r="E144" s="11" t="s">
        <v>172</v>
      </c>
      <c r="F144" s="11" t="s">
        <v>51</v>
      </c>
      <c r="G144" s="11" t="s">
        <v>77</v>
      </c>
      <c r="H144" s="11" t="s">
        <v>78</v>
      </c>
      <c r="I144" s="11" t="s">
        <v>154</v>
      </c>
      <c r="J144" s="11" t="s">
        <v>155</v>
      </c>
      <c r="K144" s="13" t="n">
        <v>698.05</v>
      </c>
      <c r="L144" s="11" t="n">
        <v>16</v>
      </c>
      <c r="M144" s="14" t="n">
        <v>0</v>
      </c>
      <c r="N144" s="13" t="n">
        <v>551.33</v>
      </c>
      <c r="O144" s="13" t="n">
        <f aca="false">K144*L144*(1-M144)</f>
        <v>11168.8</v>
      </c>
      <c r="P144" s="13" t="n">
        <f aca="false">N144*L144</f>
        <v>8821.28</v>
      </c>
      <c r="Q144" s="13" t="n">
        <f aca="false">O144-P144</f>
        <v>2347.52</v>
      </c>
      <c r="R144" s="11" t="s">
        <v>114</v>
      </c>
      <c r="S144" s="11" t="s">
        <v>187</v>
      </c>
    </row>
    <row r="145" customFormat="false" ht="15" hidden="false" customHeight="true" outlineLevel="0" collapsed="false">
      <c r="A145" s="15" t="s">
        <v>281</v>
      </c>
      <c r="B145" s="16" t="n">
        <v>45413</v>
      </c>
      <c r="C145" s="15" t="s">
        <v>49</v>
      </c>
      <c r="D145" s="15" t="s">
        <v>50</v>
      </c>
      <c r="E145" s="15" t="s">
        <v>50</v>
      </c>
      <c r="F145" s="15" t="s">
        <v>41</v>
      </c>
      <c r="G145" s="15" t="s">
        <v>77</v>
      </c>
      <c r="H145" s="15" t="s">
        <v>53</v>
      </c>
      <c r="I145" s="15" t="s">
        <v>94</v>
      </c>
      <c r="J145" s="15" t="s">
        <v>131</v>
      </c>
      <c r="K145" s="17" t="n">
        <v>42.28</v>
      </c>
      <c r="L145" s="15" t="n">
        <v>33</v>
      </c>
      <c r="M145" s="18" t="n">
        <v>0.2</v>
      </c>
      <c r="N145" s="17" t="n">
        <v>26.29</v>
      </c>
      <c r="O145" s="17" t="n">
        <f aca="false">K145*L145*(1-M145)</f>
        <v>1116.192</v>
      </c>
      <c r="P145" s="17" t="n">
        <f aca="false">N145*L145</f>
        <v>867.57</v>
      </c>
      <c r="Q145" s="17" t="n">
        <f aca="false">O145-P145</f>
        <v>248.622</v>
      </c>
      <c r="R145" s="15" t="s">
        <v>63</v>
      </c>
      <c r="S145" s="15" t="s">
        <v>124</v>
      </c>
    </row>
    <row r="146" customFormat="false" ht="15" hidden="false" customHeight="true" outlineLevel="0" collapsed="false">
      <c r="A146" s="11" t="s">
        <v>282</v>
      </c>
      <c r="B146" s="12" t="n">
        <v>45413</v>
      </c>
      <c r="C146" s="11" t="s">
        <v>49</v>
      </c>
      <c r="D146" s="11" t="s">
        <v>97</v>
      </c>
      <c r="E146" s="11" t="s">
        <v>98</v>
      </c>
      <c r="F146" s="11" t="s">
        <v>68</v>
      </c>
      <c r="G146" s="11" t="s">
        <v>42</v>
      </c>
      <c r="H146" s="11" t="s">
        <v>53</v>
      </c>
      <c r="I146" s="11" t="s">
        <v>69</v>
      </c>
      <c r="J146" s="11" t="s">
        <v>128</v>
      </c>
      <c r="K146" s="13" t="n">
        <v>17.18</v>
      </c>
      <c r="L146" s="11" t="n">
        <v>115</v>
      </c>
      <c r="M146" s="14" t="n">
        <v>0</v>
      </c>
      <c r="N146" s="13" t="n">
        <v>10.74</v>
      </c>
      <c r="O146" s="13" t="n">
        <f aca="false">K146*L146*(1-M146)</f>
        <v>1975.7</v>
      </c>
      <c r="P146" s="13" t="n">
        <f aca="false">N146*L146</f>
        <v>1235.1</v>
      </c>
      <c r="Q146" s="13" t="n">
        <f aca="false">O146-P146</f>
        <v>740.6</v>
      </c>
      <c r="R146" s="11" t="s">
        <v>63</v>
      </c>
      <c r="S146" s="11" t="s">
        <v>47</v>
      </c>
    </row>
    <row r="147" customFormat="false" ht="15" hidden="false" customHeight="true" outlineLevel="0" collapsed="false">
      <c r="A147" s="15" t="s">
        <v>283</v>
      </c>
      <c r="B147" s="16" t="n">
        <v>45414</v>
      </c>
      <c r="C147" s="15" t="s">
        <v>49</v>
      </c>
      <c r="D147" s="15" t="s">
        <v>50</v>
      </c>
      <c r="E147" s="15" t="s">
        <v>50</v>
      </c>
      <c r="F147" s="15" t="s">
        <v>68</v>
      </c>
      <c r="G147" s="15" t="s">
        <v>77</v>
      </c>
      <c r="H147" s="15" t="s">
        <v>43</v>
      </c>
      <c r="I147" s="15" t="s">
        <v>44</v>
      </c>
      <c r="J147" s="15" t="s">
        <v>106</v>
      </c>
      <c r="K147" s="17" t="n">
        <v>356.39</v>
      </c>
      <c r="L147" s="15" t="n">
        <v>13</v>
      </c>
      <c r="M147" s="18" t="n">
        <v>0</v>
      </c>
      <c r="N147" s="17" t="n">
        <v>135.84</v>
      </c>
      <c r="O147" s="17" t="n">
        <f aca="false">K147*L147*(1-M147)</f>
        <v>4633.07</v>
      </c>
      <c r="P147" s="17" t="n">
        <f aca="false">N147*L147</f>
        <v>1765.92</v>
      </c>
      <c r="Q147" s="17" t="n">
        <f aca="false">O147-P147</f>
        <v>2867.15</v>
      </c>
      <c r="R147" s="15" t="s">
        <v>71</v>
      </c>
      <c r="S147" s="15" t="s">
        <v>47</v>
      </c>
    </row>
    <row r="148" customFormat="false" ht="15" hidden="false" customHeight="true" outlineLevel="0" collapsed="false">
      <c r="A148" s="11" t="s">
        <v>284</v>
      </c>
      <c r="B148" s="12" t="n">
        <v>45414</v>
      </c>
      <c r="C148" s="11" t="s">
        <v>49</v>
      </c>
      <c r="D148" s="11" t="s">
        <v>97</v>
      </c>
      <c r="E148" s="11" t="s">
        <v>112</v>
      </c>
      <c r="F148" s="11" t="s">
        <v>68</v>
      </c>
      <c r="G148" s="11" t="s">
        <v>130</v>
      </c>
      <c r="H148" s="11" t="s">
        <v>84</v>
      </c>
      <c r="I148" s="11" t="s">
        <v>85</v>
      </c>
      <c r="J148" s="11" t="s">
        <v>90</v>
      </c>
      <c r="K148" s="13" t="n">
        <v>762.54</v>
      </c>
      <c r="L148" s="11" t="n">
        <v>16</v>
      </c>
      <c r="M148" s="14" t="n">
        <v>0</v>
      </c>
      <c r="N148" s="13" t="n">
        <v>542.36</v>
      </c>
      <c r="O148" s="13" t="n">
        <f aca="false">K148*L148*(1-M148)</f>
        <v>12200.64</v>
      </c>
      <c r="P148" s="13" t="n">
        <f aca="false">N148*L148</f>
        <v>8677.76</v>
      </c>
      <c r="Q148" s="13" t="n">
        <f aca="false">O148-P148</f>
        <v>3522.88</v>
      </c>
      <c r="R148" s="11" t="s">
        <v>114</v>
      </c>
      <c r="S148" s="11" t="s">
        <v>47</v>
      </c>
    </row>
    <row r="149" customFormat="false" ht="15" hidden="false" customHeight="true" outlineLevel="0" collapsed="false">
      <c r="A149" s="15" t="s">
        <v>285</v>
      </c>
      <c r="B149" s="16" t="n">
        <v>45415</v>
      </c>
      <c r="C149" s="15" t="s">
        <v>65</v>
      </c>
      <c r="D149" s="15" t="s">
        <v>82</v>
      </c>
      <c r="E149" s="15" t="s">
        <v>83</v>
      </c>
      <c r="F149" s="15" t="s">
        <v>123</v>
      </c>
      <c r="G149" s="15" t="s">
        <v>126</v>
      </c>
      <c r="H149" s="15" t="s">
        <v>84</v>
      </c>
      <c r="I149" s="15" t="s">
        <v>85</v>
      </c>
      <c r="J149" s="15" t="s">
        <v>86</v>
      </c>
      <c r="K149" s="17" t="n">
        <v>600.6</v>
      </c>
      <c r="L149" s="15" t="n">
        <v>17</v>
      </c>
      <c r="M149" s="18" t="n">
        <v>0.05</v>
      </c>
      <c r="N149" s="17" t="n">
        <v>426.67</v>
      </c>
      <c r="O149" s="17" t="n">
        <f aca="false">K149*L149*(1-M149)</f>
        <v>9699.69</v>
      </c>
      <c r="P149" s="17" t="n">
        <f aca="false">N149*L149</f>
        <v>7253.39</v>
      </c>
      <c r="Q149" s="17" t="n">
        <f aca="false">O149-P149</f>
        <v>2446.3</v>
      </c>
      <c r="R149" s="15" t="s">
        <v>46</v>
      </c>
      <c r="S149" s="15" t="s">
        <v>187</v>
      </c>
    </row>
    <row r="150" customFormat="false" ht="15" hidden="false" customHeight="true" outlineLevel="0" collapsed="false">
      <c r="A150" s="11" t="s">
        <v>286</v>
      </c>
      <c r="B150" s="12" t="n">
        <v>45416</v>
      </c>
      <c r="C150" s="11" t="s">
        <v>65</v>
      </c>
      <c r="D150" s="11" t="s">
        <v>149</v>
      </c>
      <c r="E150" s="11" t="s">
        <v>150</v>
      </c>
      <c r="F150" s="11" t="s">
        <v>118</v>
      </c>
      <c r="G150" s="11" t="s">
        <v>77</v>
      </c>
      <c r="H150" s="11" t="s">
        <v>78</v>
      </c>
      <c r="I150" s="11" t="s">
        <v>120</v>
      </c>
      <c r="J150" s="11" t="s">
        <v>235</v>
      </c>
      <c r="K150" s="13" t="n">
        <v>78.09</v>
      </c>
      <c r="L150" s="11" t="n">
        <v>21</v>
      </c>
      <c r="M150" s="14" t="n">
        <v>0</v>
      </c>
      <c r="N150" s="13" t="n">
        <v>59.48</v>
      </c>
      <c r="O150" s="13" t="n">
        <f aca="false">K150*L150*(1-M150)</f>
        <v>1639.89</v>
      </c>
      <c r="P150" s="13" t="n">
        <f aca="false">N150*L150</f>
        <v>1249.08</v>
      </c>
      <c r="Q150" s="13" t="n">
        <f aca="false">O150-P150</f>
        <v>390.81</v>
      </c>
      <c r="R150" s="11" t="s">
        <v>63</v>
      </c>
      <c r="S150" s="11" t="s">
        <v>47</v>
      </c>
    </row>
    <row r="151" customFormat="false" ht="15" hidden="false" customHeight="true" outlineLevel="0" collapsed="false">
      <c r="A151" s="15" t="s">
        <v>287</v>
      </c>
      <c r="B151" s="16" t="n">
        <v>45417</v>
      </c>
      <c r="C151" s="15" t="s">
        <v>49</v>
      </c>
      <c r="D151" s="15" t="s">
        <v>97</v>
      </c>
      <c r="E151" s="15" t="s">
        <v>108</v>
      </c>
      <c r="F151" s="15" t="s">
        <v>99</v>
      </c>
      <c r="G151" s="15" t="s">
        <v>52</v>
      </c>
      <c r="H151" s="15" t="s">
        <v>53</v>
      </c>
      <c r="I151" s="15" t="s">
        <v>54</v>
      </c>
      <c r="J151" s="15" t="s">
        <v>113</v>
      </c>
      <c r="K151" s="17" t="n">
        <v>14.97</v>
      </c>
      <c r="L151" s="15" t="n">
        <v>48</v>
      </c>
      <c r="M151" s="18" t="n">
        <v>0.1</v>
      </c>
      <c r="N151" s="17" t="n">
        <v>10.64</v>
      </c>
      <c r="O151" s="17" t="n">
        <f aca="false">K151*L151*(1-M151)</f>
        <v>646.704</v>
      </c>
      <c r="P151" s="17" t="n">
        <f aca="false">N151*L151</f>
        <v>510.72</v>
      </c>
      <c r="Q151" s="17" t="n">
        <f aca="false">O151-P151</f>
        <v>135.984</v>
      </c>
      <c r="R151" s="15" t="s">
        <v>114</v>
      </c>
      <c r="S151" s="15" t="s">
        <v>47</v>
      </c>
    </row>
    <row r="152" customFormat="false" ht="15" hidden="false" customHeight="true" outlineLevel="0" collapsed="false">
      <c r="A152" s="11" t="s">
        <v>288</v>
      </c>
      <c r="B152" s="12" t="n">
        <v>45418</v>
      </c>
      <c r="C152" s="11" t="s">
        <v>38</v>
      </c>
      <c r="D152" s="11" t="s">
        <v>88</v>
      </c>
      <c r="E152" s="11" t="s">
        <v>89</v>
      </c>
      <c r="F152" s="11" t="s">
        <v>123</v>
      </c>
      <c r="G152" s="11" t="s">
        <v>52</v>
      </c>
      <c r="H152" s="11" t="s">
        <v>84</v>
      </c>
      <c r="I152" s="11" t="s">
        <v>85</v>
      </c>
      <c r="J152" s="11" t="s">
        <v>90</v>
      </c>
      <c r="K152" s="13" t="n">
        <v>521.77</v>
      </c>
      <c r="L152" s="11" t="n">
        <v>13</v>
      </c>
      <c r="M152" s="14" t="n">
        <v>0</v>
      </c>
      <c r="N152" s="13" t="n">
        <v>374.16</v>
      </c>
      <c r="O152" s="13" t="n">
        <f aca="false">K152*L152*(1-M152)</f>
        <v>6783.01</v>
      </c>
      <c r="P152" s="13" t="n">
        <f aca="false">N152*L152</f>
        <v>4864.08</v>
      </c>
      <c r="Q152" s="13" t="n">
        <f aca="false">O152-P152</f>
        <v>1918.93</v>
      </c>
      <c r="R152" s="11" t="s">
        <v>46</v>
      </c>
      <c r="S152" s="11" t="s">
        <v>72</v>
      </c>
    </row>
    <row r="153" customFormat="false" ht="15" hidden="false" customHeight="true" outlineLevel="0" collapsed="false">
      <c r="A153" s="15" t="s">
        <v>289</v>
      </c>
      <c r="B153" s="16" t="n">
        <v>45419</v>
      </c>
      <c r="C153" s="15" t="s">
        <v>57</v>
      </c>
      <c r="D153" s="15" t="s">
        <v>162</v>
      </c>
      <c r="E153" s="15" t="s">
        <v>163</v>
      </c>
      <c r="F153" s="15" t="s">
        <v>135</v>
      </c>
      <c r="G153" s="15" t="s">
        <v>42</v>
      </c>
      <c r="H153" s="15" t="s">
        <v>78</v>
      </c>
      <c r="I153" s="15" t="s">
        <v>143</v>
      </c>
      <c r="J153" s="15" t="s">
        <v>158</v>
      </c>
      <c r="K153" s="17" t="n">
        <v>712.23</v>
      </c>
      <c r="L153" s="15" t="n">
        <v>1</v>
      </c>
      <c r="M153" s="18" t="n">
        <v>0</v>
      </c>
      <c r="N153" s="17" t="n">
        <v>573.12</v>
      </c>
      <c r="O153" s="17" t="n">
        <f aca="false">K153*L153*(1-M153)</f>
        <v>712.23</v>
      </c>
      <c r="P153" s="17" t="n">
        <f aca="false">N153*L153</f>
        <v>573.12</v>
      </c>
      <c r="Q153" s="17" t="n">
        <f aca="false">O153-P153</f>
        <v>139.11</v>
      </c>
      <c r="R153" s="15" t="s">
        <v>63</v>
      </c>
      <c r="S153" s="15" t="s">
        <v>47</v>
      </c>
    </row>
    <row r="154" customFormat="false" ht="15" hidden="false" customHeight="true" outlineLevel="0" collapsed="false">
      <c r="A154" s="11" t="s">
        <v>290</v>
      </c>
      <c r="B154" s="12" t="n">
        <v>45419</v>
      </c>
      <c r="C154" s="11" t="s">
        <v>49</v>
      </c>
      <c r="D154" s="11" t="s">
        <v>50</v>
      </c>
      <c r="E154" s="11" t="s">
        <v>50</v>
      </c>
      <c r="F154" s="11" t="s">
        <v>60</v>
      </c>
      <c r="G154" s="11" t="s">
        <v>52</v>
      </c>
      <c r="H154" s="11" t="s">
        <v>78</v>
      </c>
      <c r="I154" s="11" t="s">
        <v>143</v>
      </c>
      <c r="J154" s="11" t="s">
        <v>144</v>
      </c>
      <c r="K154" s="13" t="n">
        <v>1583.91</v>
      </c>
      <c r="L154" s="11" t="n">
        <v>6</v>
      </c>
      <c r="M154" s="14" t="n">
        <v>0.1</v>
      </c>
      <c r="N154" s="13" t="n">
        <v>1308.97</v>
      </c>
      <c r="O154" s="13" t="n">
        <f aca="false">K154*L154*(1-M154)</f>
        <v>8553.114</v>
      </c>
      <c r="P154" s="13" t="n">
        <f aca="false">N154*L154</f>
        <v>7853.82</v>
      </c>
      <c r="Q154" s="13" t="n">
        <f aca="false">O154-P154</f>
        <v>699.294000000002</v>
      </c>
      <c r="R154" s="11" t="s">
        <v>71</v>
      </c>
      <c r="S154" s="11" t="s">
        <v>47</v>
      </c>
    </row>
    <row r="155" customFormat="false" ht="15" hidden="false" customHeight="true" outlineLevel="0" collapsed="false">
      <c r="A155" s="15" t="s">
        <v>291</v>
      </c>
      <c r="B155" s="16" t="n">
        <v>45420</v>
      </c>
      <c r="C155" s="15" t="s">
        <v>74</v>
      </c>
      <c r="D155" s="15" t="s">
        <v>75</v>
      </c>
      <c r="E155" s="15" t="s">
        <v>76</v>
      </c>
      <c r="F155" s="15" t="s">
        <v>68</v>
      </c>
      <c r="G155" s="15" t="s">
        <v>52</v>
      </c>
      <c r="H155" s="15" t="s">
        <v>84</v>
      </c>
      <c r="I155" s="15" t="s">
        <v>100</v>
      </c>
      <c r="J155" s="15" t="s">
        <v>101</v>
      </c>
      <c r="K155" s="17" t="n">
        <v>1258.82</v>
      </c>
      <c r="L155" s="15" t="n">
        <v>1</v>
      </c>
      <c r="M155" s="18" t="n">
        <v>0.1</v>
      </c>
      <c r="N155" s="17" t="n">
        <v>989.7</v>
      </c>
      <c r="O155" s="17" t="n">
        <f aca="false">K155*L155*(1-M155)</f>
        <v>1132.938</v>
      </c>
      <c r="P155" s="17" t="n">
        <f aca="false">N155*L155</f>
        <v>989.7</v>
      </c>
      <c r="Q155" s="17" t="n">
        <f aca="false">O155-P155</f>
        <v>143.238</v>
      </c>
      <c r="R155" s="15" t="s">
        <v>46</v>
      </c>
      <c r="S155" s="15" t="s">
        <v>47</v>
      </c>
    </row>
    <row r="156" customFormat="false" ht="15" hidden="false" customHeight="true" outlineLevel="0" collapsed="false">
      <c r="A156" s="11" t="s">
        <v>292</v>
      </c>
      <c r="B156" s="12" t="n">
        <v>45420</v>
      </c>
      <c r="C156" s="11" t="s">
        <v>65</v>
      </c>
      <c r="D156" s="11" t="s">
        <v>116</v>
      </c>
      <c r="E156" s="11" t="s">
        <v>117</v>
      </c>
      <c r="F156" s="11" t="s">
        <v>135</v>
      </c>
      <c r="G156" s="11" t="s">
        <v>42</v>
      </c>
      <c r="H156" s="11" t="s">
        <v>53</v>
      </c>
      <c r="I156" s="11" t="s">
        <v>94</v>
      </c>
      <c r="J156" s="11" t="s">
        <v>131</v>
      </c>
      <c r="K156" s="13" t="n">
        <v>27.42</v>
      </c>
      <c r="L156" s="11" t="n">
        <v>30</v>
      </c>
      <c r="M156" s="14" t="n">
        <v>0</v>
      </c>
      <c r="N156" s="13" t="n">
        <v>15.81</v>
      </c>
      <c r="O156" s="13" t="n">
        <f aca="false">K156*L156*(1-M156)</f>
        <v>822.6</v>
      </c>
      <c r="P156" s="13" t="n">
        <f aca="false">N156*L156</f>
        <v>474.3</v>
      </c>
      <c r="Q156" s="13" t="n">
        <f aca="false">O156-P156</f>
        <v>348.3</v>
      </c>
      <c r="R156" s="11" t="s">
        <v>46</v>
      </c>
      <c r="S156" s="11" t="s">
        <v>47</v>
      </c>
    </row>
    <row r="157" customFormat="false" ht="15" hidden="false" customHeight="true" outlineLevel="0" collapsed="false">
      <c r="A157" s="15" t="s">
        <v>293</v>
      </c>
      <c r="B157" s="16" t="n">
        <v>45422</v>
      </c>
      <c r="C157" s="15" t="s">
        <v>65</v>
      </c>
      <c r="D157" s="15" t="s">
        <v>82</v>
      </c>
      <c r="E157" s="15" t="s">
        <v>83</v>
      </c>
      <c r="F157" s="15" t="s">
        <v>51</v>
      </c>
      <c r="G157" s="15" t="s">
        <v>52</v>
      </c>
      <c r="H157" s="15" t="s">
        <v>53</v>
      </c>
      <c r="I157" s="15" t="s">
        <v>94</v>
      </c>
      <c r="J157" s="15" t="s">
        <v>95</v>
      </c>
      <c r="K157" s="17" t="n">
        <v>36.25</v>
      </c>
      <c r="L157" s="15" t="n">
        <v>33</v>
      </c>
      <c r="M157" s="18" t="n">
        <v>0.15</v>
      </c>
      <c r="N157" s="17" t="n">
        <v>23.22</v>
      </c>
      <c r="O157" s="17" t="n">
        <f aca="false">K157*L157*(1-M157)</f>
        <v>1016.8125</v>
      </c>
      <c r="P157" s="17" t="n">
        <f aca="false">N157*L157</f>
        <v>766.26</v>
      </c>
      <c r="Q157" s="17" t="n">
        <f aca="false">O157-P157</f>
        <v>250.5525</v>
      </c>
      <c r="R157" s="15" t="s">
        <v>114</v>
      </c>
      <c r="S157" s="15" t="s">
        <v>47</v>
      </c>
    </row>
    <row r="158" customFormat="false" ht="15" hidden="false" customHeight="true" outlineLevel="0" collapsed="false">
      <c r="A158" s="11" t="s">
        <v>294</v>
      </c>
      <c r="B158" s="12" t="n">
        <v>45422</v>
      </c>
      <c r="C158" s="11" t="s">
        <v>38</v>
      </c>
      <c r="D158" s="11" t="s">
        <v>92</v>
      </c>
      <c r="E158" s="11" t="s">
        <v>93</v>
      </c>
      <c r="F158" s="11" t="s">
        <v>177</v>
      </c>
      <c r="G158" s="11" t="s">
        <v>77</v>
      </c>
      <c r="H158" s="11" t="s">
        <v>84</v>
      </c>
      <c r="I158" s="11" t="s">
        <v>100</v>
      </c>
      <c r="J158" s="11" t="s">
        <v>101</v>
      </c>
      <c r="K158" s="13" t="n">
        <v>1135.82</v>
      </c>
      <c r="L158" s="11" t="n">
        <v>2</v>
      </c>
      <c r="M158" s="14" t="n">
        <v>0.1</v>
      </c>
      <c r="N158" s="13" t="n">
        <v>853.4</v>
      </c>
      <c r="O158" s="13" t="n">
        <f aca="false">K158*L158*(1-M158)</f>
        <v>2044.476</v>
      </c>
      <c r="P158" s="13" t="n">
        <f aca="false">N158*L158</f>
        <v>1706.8</v>
      </c>
      <c r="Q158" s="13" t="n">
        <f aca="false">O158-P158</f>
        <v>337.676</v>
      </c>
      <c r="R158" s="11" t="s">
        <v>46</v>
      </c>
      <c r="S158" s="11" t="s">
        <v>47</v>
      </c>
    </row>
    <row r="159" customFormat="false" ht="15" hidden="false" customHeight="true" outlineLevel="0" collapsed="false">
      <c r="A159" s="15" t="s">
        <v>295</v>
      </c>
      <c r="B159" s="16" t="n">
        <v>45423</v>
      </c>
      <c r="C159" s="15" t="s">
        <v>74</v>
      </c>
      <c r="D159" s="15" t="s">
        <v>171</v>
      </c>
      <c r="E159" s="15" t="s">
        <v>172</v>
      </c>
      <c r="F159" s="15" t="s">
        <v>99</v>
      </c>
      <c r="G159" s="15" t="s">
        <v>42</v>
      </c>
      <c r="H159" s="15" t="s">
        <v>53</v>
      </c>
      <c r="I159" s="15" t="s">
        <v>69</v>
      </c>
      <c r="J159" s="15" t="s">
        <v>70</v>
      </c>
      <c r="K159" s="17" t="n">
        <v>30.26</v>
      </c>
      <c r="L159" s="15" t="n">
        <v>88</v>
      </c>
      <c r="M159" s="18" t="n">
        <v>0.05</v>
      </c>
      <c r="N159" s="17" t="n">
        <v>22.04</v>
      </c>
      <c r="O159" s="17" t="n">
        <f aca="false">K159*L159*(1-M159)</f>
        <v>2529.736</v>
      </c>
      <c r="P159" s="17" t="n">
        <f aca="false">N159*L159</f>
        <v>1939.52</v>
      </c>
      <c r="Q159" s="17" t="n">
        <f aca="false">O159-P159</f>
        <v>590.216</v>
      </c>
      <c r="R159" s="15" t="s">
        <v>63</v>
      </c>
      <c r="S159" s="15" t="s">
        <v>47</v>
      </c>
    </row>
    <row r="160" customFormat="false" ht="15" hidden="false" customHeight="true" outlineLevel="0" collapsed="false">
      <c r="A160" s="11" t="s">
        <v>296</v>
      </c>
      <c r="B160" s="12" t="n">
        <v>45424</v>
      </c>
      <c r="C160" s="11" t="s">
        <v>49</v>
      </c>
      <c r="D160" s="11" t="s">
        <v>97</v>
      </c>
      <c r="E160" s="11" t="s">
        <v>108</v>
      </c>
      <c r="F160" s="11" t="s">
        <v>60</v>
      </c>
      <c r="G160" s="11" t="s">
        <v>52</v>
      </c>
      <c r="H160" s="11" t="s">
        <v>78</v>
      </c>
      <c r="I160" s="11" t="s">
        <v>120</v>
      </c>
      <c r="J160" s="11" t="s">
        <v>232</v>
      </c>
      <c r="K160" s="13" t="n">
        <v>257.98</v>
      </c>
      <c r="L160" s="11" t="n">
        <v>35</v>
      </c>
      <c r="M160" s="14" t="n">
        <v>0</v>
      </c>
      <c r="N160" s="13" t="n">
        <v>187.42</v>
      </c>
      <c r="O160" s="13" t="n">
        <f aca="false">K160*L160*(1-M160)</f>
        <v>9029.3</v>
      </c>
      <c r="P160" s="13" t="n">
        <f aca="false">N160*L160</f>
        <v>6559.7</v>
      </c>
      <c r="Q160" s="13" t="n">
        <f aca="false">O160-P160</f>
        <v>2469.6</v>
      </c>
      <c r="R160" s="11" t="s">
        <v>114</v>
      </c>
      <c r="S160" s="11" t="s">
        <v>47</v>
      </c>
    </row>
    <row r="161" customFormat="false" ht="15" hidden="false" customHeight="true" outlineLevel="0" collapsed="false">
      <c r="A161" s="15" t="s">
        <v>297</v>
      </c>
      <c r="B161" s="16" t="n">
        <v>45424</v>
      </c>
      <c r="C161" s="15" t="s">
        <v>49</v>
      </c>
      <c r="D161" s="15" t="s">
        <v>97</v>
      </c>
      <c r="E161" s="15" t="s">
        <v>108</v>
      </c>
      <c r="F161" s="15" t="s">
        <v>60</v>
      </c>
      <c r="G161" s="15" t="s">
        <v>42</v>
      </c>
      <c r="H161" s="15" t="s">
        <v>84</v>
      </c>
      <c r="I161" s="15" t="s">
        <v>100</v>
      </c>
      <c r="J161" s="15" t="s">
        <v>139</v>
      </c>
      <c r="K161" s="17" t="n">
        <v>826.32</v>
      </c>
      <c r="L161" s="15" t="n">
        <v>8</v>
      </c>
      <c r="M161" s="18" t="n">
        <v>0</v>
      </c>
      <c r="N161" s="17" t="n">
        <v>599.52</v>
      </c>
      <c r="O161" s="17" t="n">
        <f aca="false">K161*L161*(1-M161)</f>
        <v>6610.56</v>
      </c>
      <c r="P161" s="17" t="n">
        <f aca="false">N161*L161</f>
        <v>4796.16</v>
      </c>
      <c r="Q161" s="17" t="n">
        <f aca="false">O161-P161</f>
        <v>1814.4</v>
      </c>
      <c r="R161" s="15" t="s">
        <v>114</v>
      </c>
      <c r="S161" s="15" t="s">
        <v>72</v>
      </c>
    </row>
    <row r="162" customFormat="false" ht="15" hidden="false" customHeight="true" outlineLevel="0" collapsed="false">
      <c r="A162" s="11" t="s">
        <v>298</v>
      </c>
      <c r="B162" s="12" t="n">
        <v>45425</v>
      </c>
      <c r="C162" s="11" t="s">
        <v>38</v>
      </c>
      <c r="D162" s="11" t="s">
        <v>92</v>
      </c>
      <c r="E162" s="11" t="s">
        <v>93</v>
      </c>
      <c r="F162" s="11" t="s">
        <v>118</v>
      </c>
      <c r="G162" s="11" t="s">
        <v>42</v>
      </c>
      <c r="H162" s="11" t="s">
        <v>53</v>
      </c>
      <c r="I162" s="11" t="s">
        <v>54</v>
      </c>
      <c r="J162" s="11" t="s">
        <v>113</v>
      </c>
      <c r="K162" s="13" t="n">
        <v>14.2</v>
      </c>
      <c r="L162" s="11" t="n">
        <v>106</v>
      </c>
      <c r="M162" s="14" t="n">
        <v>0</v>
      </c>
      <c r="N162" s="13" t="n">
        <v>8.45</v>
      </c>
      <c r="O162" s="13" t="n">
        <f aca="false">K162*L162*(1-M162)</f>
        <v>1505.2</v>
      </c>
      <c r="P162" s="13" t="n">
        <f aca="false">N162*L162</f>
        <v>895.7</v>
      </c>
      <c r="Q162" s="13" t="n">
        <f aca="false">O162-P162</f>
        <v>609.5</v>
      </c>
      <c r="R162" s="11" t="s">
        <v>63</v>
      </c>
      <c r="S162" s="11" t="s">
        <v>47</v>
      </c>
    </row>
    <row r="163" customFormat="false" ht="15" hidden="false" customHeight="true" outlineLevel="0" collapsed="false">
      <c r="A163" s="15" t="s">
        <v>299</v>
      </c>
      <c r="B163" s="16" t="n">
        <v>45426</v>
      </c>
      <c r="C163" s="15" t="s">
        <v>49</v>
      </c>
      <c r="D163" s="15" t="s">
        <v>152</v>
      </c>
      <c r="E163" s="15" t="s">
        <v>152</v>
      </c>
      <c r="F163" s="15" t="s">
        <v>51</v>
      </c>
      <c r="G163" s="15" t="s">
        <v>52</v>
      </c>
      <c r="H163" s="15" t="s">
        <v>84</v>
      </c>
      <c r="I163" s="15" t="s">
        <v>100</v>
      </c>
      <c r="J163" s="15" t="s">
        <v>139</v>
      </c>
      <c r="K163" s="17" t="n">
        <v>1184.72</v>
      </c>
      <c r="L163" s="15" t="n">
        <v>9</v>
      </c>
      <c r="M163" s="18" t="n">
        <v>0.15</v>
      </c>
      <c r="N163" s="17" t="n">
        <v>964.86</v>
      </c>
      <c r="O163" s="17" t="n">
        <f aca="false">K163*L163*(1-M163)</f>
        <v>9063.108</v>
      </c>
      <c r="P163" s="17" t="n">
        <f aca="false">N163*L163</f>
        <v>8683.74</v>
      </c>
      <c r="Q163" s="17" t="n">
        <f aca="false">O163-P163</f>
        <v>379.368</v>
      </c>
      <c r="R163" s="15" t="s">
        <v>71</v>
      </c>
      <c r="S163" s="15" t="s">
        <v>47</v>
      </c>
    </row>
    <row r="164" customFormat="false" ht="15" hidden="false" customHeight="true" outlineLevel="0" collapsed="false">
      <c r="A164" s="11" t="s">
        <v>300</v>
      </c>
      <c r="B164" s="12" t="n">
        <v>45427</v>
      </c>
      <c r="C164" s="11" t="s">
        <v>49</v>
      </c>
      <c r="D164" s="11" t="s">
        <v>50</v>
      </c>
      <c r="E164" s="11" t="s">
        <v>50</v>
      </c>
      <c r="F164" s="11" t="s">
        <v>109</v>
      </c>
      <c r="G164" s="11" t="s">
        <v>126</v>
      </c>
      <c r="H164" s="11" t="s">
        <v>53</v>
      </c>
      <c r="I164" s="11" t="s">
        <v>69</v>
      </c>
      <c r="J164" s="11" t="s">
        <v>70</v>
      </c>
      <c r="K164" s="13" t="n">
        <v>32.82</v>
      </c>
      <c r="L164" s="11" t="n">
        <v>17</v>
      </c>
      <c r="M164" s="14" t="n">
        <v>0.15</v>
      </c>
      <c r="N164" s="13" t="n">
        <v>22.44</v>
      </c>
      <c r="O164" s="13" t="n">
        <f aca="false">K164*L164*(1-M164)</f>
        <v>474.249</v>
      </c>
      <c r="P164" s="13" t="n">
        <f aca="false">N164*L164</f>
        <v>381.48</v>
      </c>
      <c r="Q164" s="13" t="n">
        <f aca="false">O164-P164</f>
        <v>92.769</v>
      </c>
      <c r="R164" s="11" t="s">
        <v>114</v>
      </c>
      <c r="S164" s="11" t="s">
        <v>47</v>
      </c>
    </row>
    <row r="165" customFormat="false" ht="15" hidden="false" customHeight="true" outlineLevel="0" collapsed="false">
      <c r="A165" s="15" t="s">
        <v>301</v>
      </c>
      <c r="B165" s="16" t="n">
        <v>45427</v>
      </c>
      <c r="C165" s="15" t="s">
        <v>49</v>
      </c>
      <c r="D165" s="15" t="s">
        <v>97</v>
      </c>
      <c r="E165" s="15" t="s">
        <v>98</v>
      </c>
      <c r="F165" s="15" t="s">
        <v>51</v>
      </c>
      <c r="G165" s="15" t="s">
        <v>52</v>
      </c>
      <c r="H165" s="15" t="s">
        <v>53</v>
      </c>
      <c r="I165" s="15" t="s">
        <v>94</v>
      </c>
      <c r="J165" s="15" t="s">
        <v>95</v>
      </c>
      <c r="K165" s="17" t="n">
        <v>38.05</v>
      </c>
      <c r="L165" s="15" t="n">
        <v>39</v>
      </c>
      <c r="M165" s="18" t="n">
        <v>0.15</v>
      </c>
      <c r="N165" s="17" t="n">
        <v>21.94</v>
      </c>
      <c r="O165" s="17" t="n">
        <f aca="false">K165*L165*(1-M165)</f>
        <v>1261.3575</v>
      </c>
      <c r="P165" s="17" t="n">
        <f aca="false">N165*L165</f>
        <v>855.66</v>
      </c>
      <c r="Q165" s="17" t="n">
        <f aca="false">O165-P165</f>
        <v>405.6975</v>
      </c>
      <c r="R165" s="15" t="s">
        <v>46</v>
      </c>
      <c r="S165" s="15" t="s">
        <v>47</v>
      </c>
    </row>
    <row r="166" customFormat="false" ht="15" hidden="false" customHeight="true" outlineLevel="0" collapsed="false">
      <c r="A166" s="11" t="s">
        <v>302</v>
      </c>
      <c r="B166" s="12" t="n">
        <v>45428</v>
      </c>
      <c r="C166" s="11" t="s">
        <v>38</v>
      </c>
      <c r="D166" s="11" t="s">
        <v>39</v>
      </c>
      <c r="E166" s="11" t="s">
        <v>40</v>
      </c>
      <c r="F166" s="11" t="s">
        <v>177</v>
      </c>
      <c r="G166" s="11" t="s">
        <v>42</v>
      </c>
      <c r="H166" s="11" t="s">
        <v>53</v>
      </c>
      <c r="I166" s="11" t="s">
        <v>69</v>
      </c>
      <c r="J166" s="11" t="s">
        <v>70</v>
      </c>
      <c r="K166" s="13" t="n">
        <v>26.21</v>
      </c>
      <c r="L166" s="11" t="n">
        <v>62</v>
      </c>
      <c r="M166" s="14" t="n">
        <v>0.05</v>
      </c>
      <c r="N166" s="13" t="n">
        <v>16.73</v>
      </c>
      <c r="O166" s="13" t="n">
        <f aca="false">K166*L166*(1-M166)</f>
        <v>1543.769</v>
      </c>
      <c r="P166" s="13" t="n">
        <f aca="false">N166*L166</f>
        <v>1037.26</v>
      </c>
      <c r="Q166" s="13" t="n">
        <f aca="false">O166-P166</f>
        <v>506.509</v>
      </c>
      <c r="R166" s="11" t="s">
        <v>63</v>
      </c>
      <c r="S166" s="11" t="s">
        <v>47</v>
      </c>
    </row>
    <row r="167" customFormat="false" ht="15" hidden="false" customHeight="true" outlineLevel="0" collapsed="false">
      <c r="A167" s="15" t="s">
        <v>303</v>
      </c>
      <c r="B167" s="16" t="n">
        <v>45429</v>
      </c>
      <c r="C167" s="15" t="s">
        <v>49</v>
      </c>
      <c r="D167" s="15" t="s">
        <v>97</v>
      </c>
      <c r="E167" s="15" t="s">
        <v>98</v>
      </c>
      <c r="F167" s="15" t="s">
        <v>41</v>
      </c>
      <c r="G167" s="15" t="s">
        <v>52</v>
      </c>
      <c r="H167" s="15" t="s">
        <v>53</v>
      </c>
      <c r="I167" s="15" t="s">
        <v>69</v>
      </c>
      <c r="J167" s="15" t="s">
        <v>70</v>
      </c>
      <c r="K167" s="17" t="n">
        <v>25.13</v>
      </c>
      <c r="L167" s="15" t="n">
        <v>49</v>
      </c>
      <c r="M167" s="18" t="n">
        <v>0</v>
      </c>
      <c r="N167" s="17" t="n">
        <v>15.83</v>
      </c>
      <c r="O167" s="17" t="n">
        <f aca="false">K167*L167*(1-M167)</f>
        <v>1231.37</v>
      </c>
      <c r="P167" s="17" t="n">
        <f aca="false">N167*L167</f>
        <v>775.67</v>
      </c>
      <c r="Q167" s="17" t="n">
        <f aca="false">O167-P167</f>
        <v>455.7</v>
      </c>
      <c r="R167" s="15" t="s">
        <v>46</v>
      </c>
      <c r="S167" s="15" t="s">
        <v>47</v>
      </c>
    </row>
    <row r="168" customFormat="false" ht="15" hidden="false" customHeight="true" outlineLevel="0" collapsed="false">
      <c r="A168" s="11" t="s">
        <v>304</v>
      </c>
      <c r="B168" s="12" t="n">
        <v>45430</v>
      </c>
      <c r="C168" s="11" t="s">
        <v>49</v>
      </c>
      <c r="D168" s="11" t="s">
        <v>97</v>
      </c>
      <c r="E168" s="11" t="s">
        <v>108</v>
      </c>
      <c r="F168" s="11" t="s">
        <v>51</v>
      </c>
      <c r="G168" s="11" t="s">
        <v>42</v>
      </c>
      <c r="H168" s="11" t="s">
        <v>43</v>
      </c>
      <c r="I168" s="11" t="s">
        <v>44</v>
      </c>
      <c r="J168" s="11" t="s">
        <v>45</v>
      </c>
      <c r="K168" s="13" t="n">
        <v>138.04</v>
      </c>
      <c r="L168" s="11" t="n">
        <v>43</v>
      </c>
      <c r="M168" s="14" t="n">
        <v>0.1</v>
      </c>
      <c r="N168" s="13" t="n">
        <v>55.8</v>
      </c>
      <c r="O168" s="13" t="n">
        <f aca="false">K168*L168*(1-M168)</f>
        <v>5342.148</v>
      </c>
      <c r="P168" s="13" t="n">
        <f aca="false">N168*L168</f>
        <v>2399.4</v>
      </c>
      <c r="Q168" s="13" t="n">
        <f aca="false">O168-P168</f>
        <v>2942.748</v>
      </c>
      <c r="R168" s="11" t="s">
        <v>114</v>
      </c>
      <c r="S168" s="11" t="s">
        <v>47</v>
      </c>
    </row>
    <row r="169" customFormat="false" ht="15" hidden="false" customHeight="true" outlineLevel="0" collapsed="false">
      <c r="A169" s="15" t="s">
        <v>305</v>
      </c>
      <c r="B169" s="16" t="n">
        <v>45431</v>
      </c>
      <c r="C169" s="15" t="s">
        <v>38</v>
      </c>
      <c r="D169" s="15" t="s">
        <v>92</v>
      </c>
      <c r="E169" s="15" t="s">
        <v>93</v>
      </c>
      <c r="F169" s="15" t="s">
        <v>60</v>
      </c>
      <c r="G169" s="15" t="s">
        <v>130</v>
      </c>
      <c r="H169" s="15" t="s">
        <v>84</v>
      </c>
      <c r="I169" s="15" t="s">
        <v>100</v>
      </c>
      <c r="J169" s="15" t="s">
        <v>101</v>
      </c>
      <c r="K169" s="17" t="n">
        <v>1625.24</v>
      </c>
      <c r="L169" s="15" t="n">
        <v>7</v>
      </c>
      <c r="M169" s="18" t="n">
        <v>0.05</v>
      </c>
      <c r="N169" s="17" t="n">
        <v>1268.51</v>
      </c>
      <c r="O169" s="17" t="n">
        <f aca="false">K169*L169*(1-M169)</f>
        <v>10807.846</v>
      </c>
      <c r="P169" s="17" t="n">
        <f aca="false">N169*L169</f>
        <v>8879.57</v>
      </c>
      <c r="Q169" s="17" t="n">
        <f aca="false">O169-P169</f>
        <v>1928.276</v>
      </c>
      <c r="R169" s="15" t="s">
        <v>46</v>
      </c>
      <c r="S169" s="15" t="s">
        <v>47</v>
      </c>
    </row>
    <row r="170" customFormat="false" ht="15" hidden="false" customHeight="true" outlineLevel="0" collapsed="false">
      <c r="A170" s="11" t="s">
        <v>306</v>
      </c>
      <c r="B170" s="12" t="n">
        <v>45431</v>
      </c>
      <c r="C170" s="11" t="s">
        <v>38</v>
      </c>
      <c r="D170" s="11" t="s">
        <v>92</v>
      </c>
      <c r="E170" s="11" t="s">
        <v>93</v>
      </c>
      <c r="F170" s="11" t="s">
        <v>60</v>
      </c>
      <c r="G170" s="11" t="s">
        <v>52</v>
      </c>
      <c r="H170" s="11" t="s">
        <v>53</v>
      </c>
      <c r="I170" s="11" t="s">
        <v>69</v>
      </c>
      <c r="J170" s="11" t="s">
        <v>70</v>
      </c>
      <c r="K170" s="13" t="n">
        <v>23.68</v>
      </c>
      <c r="L170" s="11" t="n">
        <v>79</v>
      </c>
      <c r="M170" s="14" t="n">
        <v>0.1</v>
      </c>
      <c r="N170" s="13" t="n">
        <v>15.17</v>
      </c>
      <c r="O170" s="13" t="n">
        <f aca="false">K170*L170*(1-M170)</f>
        <v>1683.648</v>
      </c>
      <c r="P170" s="13" t="n">
        <f aca="false">N170*L170</f>
        <v>1198.43</v>
      </c>
      <c r="Q170" s="13" t="n">
        <f aca="false">O170-P170</f>
        <v>485.218</v>
      </c>
      <c r="R170" s="11" t="s">
        <v>46</v>
      </c>
      <c r="S170" s="11" t="s">
        <v>47</v>
      </c>
    </row>
    <row r="171" customFormat="false" ht="15" hidden="false" customHeight="true" outlineLevel="0" collapsed="false">
      <c r="A171" s="15" t="s">
        <v>307</v>
      </c>
      <c r="B171" s="16" t="n">
        <v>45431</v>
      </c>
      <c r="C171" s="15" t="s">
        <v>49</v>
      </c>
      <c r="D171" s="15" t="s">
        <v>97</v>
      </c>
      <c r="E171" s="15" t="s">
        <v>112</v>
      </c>
      <c r="F171" s="15" t="s">
        <v>99</v>
      </c>
      <c r="G171" s="15" t="s">
        <v>52</v>
      </c>
      <c r="H171" s="15" t="s">
        <v>53</v>
      </c>
      <c r="I171" s="15" t="s">
        <v>54</v>
      </c>
      <c r="J171" s="15" t="s">
        <v>113</v>
      </c>
      <c r="K171" s="17" t="n">
        <v>19.83</v>
      </c>
      <c r="L171" s="15" t="n">
        <v>114</v>
      </c>
      <c r="M171" s="18" t="n">
        <v>0.15</v>
      </c>
      <c r="N171" s="17" t="n">
        <v>14.2</v>
      </c>
      <c r="O171" s="17" t="n">
        <f aca="false">K171*L171*(1-M171)</f>
        <v>1921.527</v>
      </c>
      <c r="P171" s="17" t="n">
        <f aca="false">N171*L171</f>
        <v>1618.8</v>
      </c>
      <c r="Q171" s="17" t="n">
        <f aca="false">O171-P171</f>
        <v>302.727</v>
      </c>
      <c r="R171" s="15" t="s">
        <v>46</v>
      </c>
      <c r="S171" s="15" t="s">
        <v>47</v>
      </c>
    </row>
    <row r="172" customFormat="false" ht="15" hidden="false" customHeight="true" outlineLevel="0" collapsed="false">
      <c r="A172" s="11" t="s">
        <v>308</v>
      </c>
      <c r="B172" s="12" t="n">
        <v>45432</v>
      </c>
      <c r="C172" s="11" t="s">
        <v>65</v>
      </c>
      <c r="D172" s="11" t="s">
        <v>116</v>
      </c>
      <c r="E172" s="11" t="s">
        <v>117</v>
      </c>
      <c r="F172" s="11" t="s">
        <v>109</v>
      </c>
      <c r="G172" s="11" t="s">
        <v>77</v>
      </c>
      <c r="H172" s="11" t="s">
        <v>43</v>
      </c>
      <c r="I172" s="11" t="s">
        <v>61</v>
      </c>
      <c r="J172" s="11" t="s">
        <v>62</v>
      </c>
      <c r="K172" s="13" t="n">
        <v>429.14</v>
      </c>
      <c r="L172" s="11" t="n">
        <v>19</v>
      </c>
      <c r="M172" s="14" t="n">
        <v>0</v>
      </c>
      <c r="N172" s="13" t="n">
        <v>173.09</v>
      </c>
      <c r="O172" s="13" t="n">
        <f aca="false">K172*L172*(1-M172)</f>
        <v>8153.66</v>
      </c>
      <c r="P172" s="13" t="n">
        <f aca="false">N172*L172</f>
        <v>3288.71</v>
      </c>
      <c r="Q172" s="13" t="n">
        <f aca="false">O172-P172</f>
        <v>4864.95</v>
      </c>
      <c r="R172" s="11" t="s">
        <v>167</v>
      </c>
      <c r="S172" s="11" t="s">
        <v>47</v>
      </c>
    </row>
    <row r="173" customFormat="false" ht="15" hidden="false" customHeight="true" outlineLevel="0" collapsed="false">
      <c r="A173" s="15" t="s">
        <v>309</v>
      </c>
      <c r="B173" s="16" t="n">
        <v>45432</v>
      </c>
      <c r="C173" s="15" t="s">
        <v>49</v>
      </c>
      <c r="D173" s="15" t="s">
        <v>152</v>
      </c>
      <c r="E173" s="15" t="s">
        <v>152</v>
      </c>
      <c r="F173" s="15" t="s">
        <v>99</v>
      </c>
      <c r="G173" s="15" t="s">
        <v>130</v>
      </c>
      <c r="H173" s="15" t="s">
        <v>43</v>
      </c>
      <c r="I173" s="15" t="s">
        <v>44</v>
      </c>
      <c r="J173" s="15" t="s">
        <v>106</v>
      </c>
      <c r="K173" s="17" t="n">
        <v>482.49</v>
      </c>
      <c r="L173" s="15" t="n">
        <v>5</v>
      </c>
      <c r="M173" s="18" t="n">
        <v>0</v>
      </c>
      <c r="N173" s="17" t="n">
        <v>213.4</v>
      </c>
      <c r="O173" s="17" t="n">
        <f aca="false">K173*L173*(1-M173)</f>
        <v>2412.45</v>
      </c>
      <c r="P173" s="17" t="n">
        <f aca="false">N173*L173</f>
        <v>1067</v>
      </c>
      <c r="Q173" s="17" t="n">
        <f aca="false">O173-P173</f>
        <v>1345.45</v>
      </c>
      <c r="R173" s="15" t="s">
        <v>63</v>
      </c>
      <c r="S173" s="15" t="s">
        <v>47</v>
      </c>
    </row>
    <row r="174" customFormat="false" ht="15" hidden="false" customHeight="true" outlineLevel="0" collapsed="false">
      <c r="A174" s="11" t="s">
        <v>310</v>
      </c>
      <c r="B174" s="12" t="n">
        <v>45432</v>
      </c>
      <c r="C174" s="11" t="s">
        <v>74</v>
      </c>
      <c r="D174" s="11" t="s">
        <v>171</v>
      </c>
      <c r="E174" s="11" t="s">
        <v>172</v>
      </c>
      <c r="F174" s="11" t="s">
        <v>99</v>
      </c>
      <c r="G174" s="11" t="s">
        <v>77</v>
      </c>
      <c r="H174" s="11" t="s">
        <v>78</v>
      </c>
      <c r="I174" s="11" t="s">
        <v>79</v>
      </c>
      <c r="J174" s="11" t="s">
        <v>80</v>
      </c>
      <c r="K174" s="13" t="n">
        <v>2997.73</v>
      </c>
      <c r="L174" s="11" t="n">
        <v>7</v>
      </c>
      <c r="M174" s="14" t="n">
        <v>0</v>
      </c>
      <c r="N174" s="13" t="n">
        <v>2486.9</v>
      </c>
      <c r="O174" s="13" t="n">
        <f aca="false">K174*L174*(1-M174)</f>
        <v>20984.11</v>
      </c>
      <c r="P174" s="13" t="n">
        <f aca="false">N174*L174</f>
        <v>17408.3</v>
      </c>
      <c r="Q174" s="13" t="n">
        <f aca="false">O174-P174</f>
        <v>3575.81</v>
      </c>
      <c r="R174" s="11" t="s">
        <v>46</v>
      </c>
      <c r="S174" s="11" t="s">
        <v>47</v>
      </c>
    </row>
    <row r="175" customFormat="false" ht="15" hidden="false" customHeight="true" outlineLevel="0" collapsed="false">
      <c r="A175" s="15" t="s">
        <v>311</v>
      </c>
      <c r="B175" s="16" t="n">
        <v>45432</v>
      </c>
      <c r="C175" s="15" t="s">
        <v>49</v>
      </c>
      <c r="D175" s="15" t="s">
        <v>50</v>
      </c>
      <c r="E175" s="15" t="s">
        <v>50</v>
      </c>
      <c r="F175" s="15" t="s">
        <v>51</v>
      </c>
      <c r="G175" s="15" t="s">
        <v>77</v>
      </c>
      <c r="H175" s="15" t="s">
        <v>53</v>
      </c>
      <c r="I175" s="15" t="s">
        <v>54</v>
      </c>
      <c r="J175" s="15" t="s">
        <v>113</v>
      </c>
      <c r="K175" s="17" t="n">
        <v>21.15</v>
      </c>
      <c r="L175" s="15" t="n">
        <v>130</v>
      </c>
      <c r="M175" s="18" t="n">
        <v>0</v>
      </c>
      <c r="N175" s="17" t="n">
        <v>14.61</v>
      </c>
      <c r="O175" s="17" t="n">
        <f aca="false">K175*L175*(1-M175)</f>
        <v>2749.5</v>
      </c>
      <c r="P175" s="17" t="n">
        <f aca="false">N175*L175</f>
        <v>1899.3</v>
      </c>
      <c r="Q175" s="17" t="n">
        <f aca="false">O175-P175</f>
        <v>850.2</v>
      </c>
      <c r="R175" s="15" t="s">
        <v>46</v>
      </c>
      <c r="S175" s="15" t="s">
        <v>47</v>
      </c>
    </row>
    <row r="176" customFormat="false" ht="15" hidden="false" customHeight="true" outlineLevel="0" collapsed="false">
      <c r="A176" s="11" t="s">
        <v>312</v>
      </c>
      <c r="B176" s="12" t="n">
        <v>45432</v>
      </c>
      <c r="C176" s="11" t="s">
        <v>49</v>
      </c>
      <c r="D176" s="11" t="s">
        <v>152</v>
      </c>
      <c r="E176" s="11" t="s">
        <v>152</v>
      </c>
      <c r="F176" s="11" t="s">
        <v>135</v>
      </c>
      <c r="G176" s="11" t="s">
        <v>52</v>
      </c>
      <c r="H176" s="11" t="s">
        <v>53</v>
      </c>
      <c r="I176" s="11" t="s">
        <v>94</v>
      </c>
      <c r="J176" s="11" t="s">
        <v>95</v>
      </c>
      <c r="K176" s="13" t="n">
        <v>20.38</v>
      </c>
      <c r="L176" s="11" t="n">
        <v>54</v>
      </c>
      <c r="M176" s="14" t="n">
        <v>0.05</v>
      </c>
      <c r="N176" s="13" t="n">
        <v>13.13</v>
      </c>
      <c r="O176" s="13" t="n">
        <f aca="false">K176*L176*(1-M176)</f>
        <v>1045.494</v>
      </c>
      <c r="P176" s="13" t="n">
        <f aca="false">N176*L176</f>
        <v>709.02</v>
      </c>
      <c r="Q176" s="13" t="n">
        <f aca="false">O176-P176</f>
        <v>336.474</v>
      </c>
      <c r="R176" s="11" t="s">
        <v>167</v>
      </c>
      <c r="S176" s="11" t="s">
        <v>47</v>
      </c>
    </row>
    <row r="177" customFormat="false" ht="15" hidden="false" customHeight="true" outlineLevel="0" collapsed="false">
      <c r="A177" s="15" t="s">
        <v>313</v>
      </c>
      <c r="B177" s="16" t="n">
        <v>45433</v>
      </c>
      <c r="C177" s="15" t="s">
        <v>38</v>
      </c>
      <c r="D177" s="15" t="s">
        <v>88</v>
      </c>
      <c r="E177" s="15" t="s">
        <v>89</v>
      </c>
      <c r="F177" s="15" t="s">
        <v>51</v>
      </c>
      <c r="G177" s="15" t="s">
        <v>42</v>
      </c>
      <c r="H177" s="15" t="s">
        <v>43</v>
      </c>
      <c r="I177" s="15" t="s">
        <v>44</v>
      </c>
      <c r="J177" s="15" t="s">
        <v>106</v>
      </c>
      <c r="K177" s="17" t="n">
        <v>341.6</v>
      </c>
      <c r="L177" s="15" t="n">
        <v>36</v>
      </c>
      <c r="M177" s="18" t="n">
        <v>0.05</v>
      </c>
      <c r="N177" s="17" t="n">
        <v>137.43</v>
      </c>
      <c r="O177" s="17" t="n">
        <f aca="false">K177*L177*(1-M177)</f>
        <v>11682.72</v>
      </c>
      <c r="P177" s="17" t="n">
        <f aca="false">N177*L177</f>
        <v>4947.48</v>
      </c>
      <c r="Q177" s="17" t="n">
        <f aca="false">O177-P177</f>
        <v>6735.24</v>
      </c>
      <c r="R177" s="15" t="s">
        <v>46</v>
      </c>
      <c r="S177" s="15" t="s">
        <v>72</v>
      </c>
    </row>
    <row r="178" customFormat="false" ht="15" hidden="false" customHeight="true" outlineLevel="0" collapsed="false">
      <c r="A178" s="11" t="s">
        <v>314</v>
      </c>
      <c r="B178" s="12" t="n">
        <v>45435</v>
      </c>
      <c r="C178" s="11" t="s">
        <v>38</v>
      </c>
      <c r="D178" s="11" t="s">
        <v>92</v>
      </c>
      <c r="E178" s="11" t="s">
        <v>93</v>
      </c>
      <c r="F178" s="11" t="s">
        <v>109</v>
      </c>
      <c r="G178" s="11" t="s">
        <v>52</v>
      </c>
      <c r="H178" s="11" t="s">
        <v>43</v>
      </c>
      <c r="I178" s="11" t="s">
        <v>61</v>
      </c>
      <c r="J178" s="11" t="s">
        <v>62</v>
      </c>
      <c r="K178" s="13" t="n">
        <v>510.26</v>
      </c>
      <c r="L178" s="11" t="n">
        <v>39</v>
      </c>
      <c r="M178" s="14" t="n">
        <v>0.05</v>
      </c>
      <c r="N178" s="13" t="n">
        <v>200.11</v>
      </c>
      <c r="O178" s="13" t="n">
        <f aca="false">K178*L178*(1-M178)</f>
        <v>18905.133</v>
      </c>
      <c r="P178" s="13" t="n">
        <f aca="false">N178*L178</f>
        <v>7804.29</v>
      </c>
      <c r="Q178" s="13" t="n">
        <f aca="false">O178-P178</f>
        <v>11100.843</v>
      </c>
      <c r="R178" s="11" t="s">
        <v>71</v>
      </c>
      <c r="S178" s="11" t="s">
        <v>47</v>
      </c>
    </row>
    <row r="179" customFormat="false" ht="15" hidden="false" customHeight="true" outlineLevel="0" collapsed="false">
      <c r="A179" s="15" t="s">
        <v>315</v>
      </c>
      <c r="B179" s="16" t="n">
        <v>45436</v>
      </c>
      <c r="C179" s="15" t="s">
        <v>49</v>
      </c>
      <c r="D179" s="15" t="s">
        <v>152</v>
      </c>
      <c r="E179" s="15" t="s">
        <v>152</v>
      </c>
      <c r="F179" s="15" t="s">
        <v>177</v>
      </c>
      <c r="G179" s="15" t="s">
        <v>42</v>
      </c>
      <c r="H179" s="15" t="s">
        <v>84</v>
      </c>
      <c r="I179" s="15" t="s">
        <v>136</v>
      </c>
      <c r="J179" s="15" t="s">
        <v>137</v>
      </c>
      <c r="K179" s="17" t="n">
        <v>308.78</v>
      </c>
      <c r="L179" s="15" t="n">
        <v>31</v>
      </c>
      <c r="M179" s="18" t="n">
        <v>0</v>
      </c>
      <c r="N179" s="17" t="n">
        <v>239.27</v>
      </c>
      <c r="O179" s="17" t="n">
        <f aca="false">K179*L179*(1-M179)</f>
        <v>9572.18</v>
      </c>
      <c r="P179" s="17" t="n">
        <f aca="false">N179*L179</f>
        <v>7417.37</v>
      </c>
      <c r="Q179" s="17" t="n">
        <f aca="false">O179-P179</f>
        <v>2154.81</v>
      </c>
      <c r="R179" s="15" t="s">
        <v>46</v>
      </c>
      <c r="S179" s="15" t="s">
        <v>47</v>
      </c>
    </row>
    <row r="180" customFormat="false" ht="15" hidden="false" customHeight="true" outlineLevel="0" collapsed="false">
      <c r="A180" s="11" t="s">
        <v>316</v>
      </c>
      <c r="B180" s="12" t="n">
        <v>45436</v>
      </c>
      <c r="C180" s="11" t="s">
        <v>49</v>
      </c>
      <c r="D180" s="11" t="s">
        <v>50</v>
      </c>
      <c r="E180" s="11" t="s">
        <v>50</v>
      </c>
      <c r="F180" s="11" t="s">
        <v>99</v>
      </c>
      <c r="G180" s="11" t="s">
        <v>52</v>
      </c>
      <c r="H180" s="11" t="s">
        <v>84</v>
      </c>
      <c r="I180" s="11" t="s">
        <v>136</v>
      </c>
      <c r="J180" s="11" t="s">
        <v>247</v>
      </c>
      <c r="K180" s="13" t="n">
        <v>881.84</v>
      </c>
      <c r="L180" s="11" t="n">
        <v>29</v>
      </c>
      <c r="M180" s="14" t="n">
        <v>0</v>
      </c>
      <c r="N180" s="13" t="n">
        <v>704.92</v>
      </c>
      <c r="O180" s="13" t="n">
        <f aca="false">K180*L180*(1-M180)</f>
        <v>25573.36</v>
      </c>
      <c r="P180" s="13" t="n">
        <f aca="false">N180*L180</f>
        <v>20442.68</v>
      </c>
      <c r="Q180" s="13" t="n">
        <f aca="false">O180-P180</f>
        <v>5130.68</v>
      </c>
      <c r="R180" s="11" t="s">
        <v>63</v>
      </c>
      <c r="S180" s="11" t="s">
        <v>47</v>
      </c>
    </row>
    <row r="181" customFormat="false" ht="15" hidden="false" customHeight="true" outlineLevel="0" collapsed="false">
      <c r="A181" s="15" t="s">
        <v>317</v>
      </c>
      <c r="B181" s="16" t="n">
        <v>45437</v>
      </c>
      <c r="C181" s="15" t="s">
        <v>49</v>
      </c>
      <c r="D181" s="15" t="s">
        <v>97</v>
      </c>
      <c r="E181" s="15" t="s">
        <v>112</v>
      </c>
      <c r="F181" s="15" t="s">
        <v>177</v>
      </c>
      <c r="G181" s="15" t="s">
        <v>42</v>
      </c>
      <c r="H181" s="15" t="s">
        <v>43</v>
      </c>
      <c r="I181" s="15" t="s">
        <v>61</v>
      </c>
      <c r="J181" s="15" t="s">
        <v>147</v>
      </c>
      <c r="K181" s="17" t="n">
        <v>319.38</v>
      </c>
      <c r="L181" s="15" t="n">
        <v>33</v>
      </c>
      <c r="M181" s="18" t="n">
        <v>0</v>
      </c>
      <c r="N181" s="17" t="n">
        <v>137.71</v>
      </c>
      <c r="O181" s="17" t="n">
        <f aca="false">K181*L181*(1-M181)</f>
        <v>10539.54</v>
      </c>
      <c r="P181" s="17" t="n">
        <f aca="false">N181*L181</f>
        <v>4544.43</v>
      </c>
      <c r="Q181" s="17" t="n">
        <f aca="false">O181-P181</f>
        <v>5995.11</v>
      </c>
      <c r="R181" s="15" t="s">
        <v>46</v>
      </c>
      <c r="S181" s="15" t="s">
        <v>47</v>
      </c>
    </row>
    <row r="182" customFormat="false" ht="15" hidden="false" customHeight="true" outlineLevel="0" collapsed="false">
      <c r="A182" s="11" t="s">
        <v>318</v>
      </c>
      <c r="B182" s="12" t="n">
        <v>45437</v>
      </c>
      <c r="C182" s="11" t="s">
        <v>49</v>
      </c>
      <c r="D182" s="11" t="s">
        <v>152</v>
      </c>
      <c r="E182" s="11" t="s">
        <v>152</v>
      </c>
      <c r="F182" s="11" t="s">
        <v>68</v>
      </c>
      <c r="G182" s="11" t="s">
        <v>52</v>
      </c>
      <c r="H182" s="11" t="s">
        <v>78</v>
      </c>
      <c r="I182" s="11" t="s">
        <v>143</v>
      </c>
      <c r="J182" s="11" t="s">
        <v>144</v>
      </c>
      <c r="K182" s="13" t="n">
        <v>1456.03</v>
      </c>
      <c r="L182" s="11" t="n">
        <v>17</v>
      </c>
      <c r="M182" s="14" t="n">
        <v>0</v>
      </c>
      <c r="N182" s="13" t="n">
        <v>1149.11</v>
      </c>
      <c r="O182" s="13" t="n">
        <f aca="false">K182*L182*(1-M182)</f>
        <v>24752.51</v>
      </c>
      <c r="P182" s="13" t="n">
        <f aca="false">N182*L182</f>
        <v>19534.87</v>
      </c>
      <c r="Q182" s="13" t="n">
        <f aca="false">O182-P182</f>
        <v>5217.64</v>
      </c>
      <c r="R182" s="11" t="s">
        <v>46</v>
      </c>
      <c r="S182" s="11" t="s">
        <v>47</v>
      </c>
    </row>
    <row r="183" customFormat="false" ht="15" hidden="false" customHeight="true" outlineLevel="0" collapsed="false">
      <c r="A183" s="15" t="s">
        <v>319</v>
      </c>
      <c r="B183" s="16" t="n">
        <v>45438</v>
      </c>
      <c r="C183" s="15" t="s">
        <v>49</v>
      </c>
      <c r="D183" s="15" t="s">
        <v>97</v>
      </c>
      <c r="E183" s="15" t="s">
        <v>112</v>
      </c>
      <c r="F183" s="15" t="s">
        <v>99</v>
      </c>
      <c r="G183" s="15" t="s">
        <v>52</v>
      </c>
      <c r="H183" s="15" t="s">
        <v>53</v>
      </c>
      <c r="I183" s="15" t="s">
        <v>94</v>
      </c>
      <c r="J183" s="15" t="s">
        <v>131</v>
      </c>
      <c r="K183" s="17" t="n">
        <v>36.97</v>
      </c>
      <c r="L183" s="15" t="n">
        <v>25</v>
      </c>
      <c r="M183" s="18" t="n">
        <v>0</v>
      </c>
      <c r="N183" s="17" t="n">
        <v>24.34</v>
      </c>
      <c r="O183" s="17" t="n">
        <f aca="false">K183*L183*(1-M183)</f>
        <v>924.25</v>
      </c>
      <c r="P183" s="17" t="n">
        <f aca="false">N183*L183</f>
        <v>608.5</v>
      </c>
      <c r="Q183" s="17" t="n">
        <f aca="false">O183-P183</f>
        <v>315.75</v>
      </c>
      <c r="R183" s="15" t="s">
        <v>114</v>
      </c>
      <c r="S183" s="15" t="s">
        <v>47</v>
      </c>
    </row>
    <row r="184" customFormat="false" ht="15" hidden="false" customHeight="true" outlineLevel="0" collapsed="false">
      <c r="A184" s="11" t="s">
        <v>320</v>
      </c>
      <c r="B184" s="12" t="n">
        <v>45438</v>
      </c>
      <c r="C184" s="11" t="s">
        <v>38</v>
      </c>
      <c r="D184" s="11" t="s">
        <v>39</v>
      </c>
      <c r="E184" s="11" t="s">
        <v>40</v>
      </c>
      <c r="F184" s="11" t="s">
        <v>123</v>
      </c>
      <c r="G184" s="11" t="s">
        <v>77</v>
      </c>
      <c r="H184" s="11" t="s">
        <v>78</v>
      </c>
      <c r="I184" s="11" t="s">
        <v>120</v>
      </c>
      <c r="J184" s="11" t="s">
        <v>232</v>
      </c>
      <c r="K184" s="13" t="n">
        <v>251.56</v>
      </c>
      <c r="L184" s="11" t="n">
        <v>59</v>
      </c>
      <c r="M184" s="14" t="n">
        <v>0.2</v>
      </c>
      <c r="N184" s="13" t="n">
        <v>200.2</v>
      </c>
      <c r="O184" s="13" t="n">
        <f aca="false">K184*L184*(1-M184)</f>
        <v>11873.632</v>
      </c>
      <c r="P184" s="13" t="n">
        <f aca="false">N184*L184</f>
        <v>11811.8</v>
      </c>
      <c r="Q184" s="13" t="n">
        <f aca="false">O184-P184</f>
        <v>61.8320000000022</v>
      </c>
      <c r="R184" s="11" t="s">
        <v>63</v>
      </c>
      <c r="S184" s="11" t="s">
        <v>47</v>
      </c>
    </row>
    <row r="185" customFormat="false" ht="15" hidden="false" customHeight="true" outlineLevel="0" collapsed="false">
      <c r="A185" s="15" t="s">
        <v>321</v>
      </c>
      <c r="B185" s="16" t="n">
        <v>45438</v>
      </c>
      <c r="C185" s="15" t="s">
        <v>38</v>
      </c>
      <c r="D185" s="15" t="s">
        <v>88</v>
      </c>
      <c r="E185" s="15" t="s">
        <v>89</v>
      </c>
      <c r="F185" s="15" t="s">
        <v>177</v>
      </c>
      <c r="G185" s="15" t="s">
        <v>126</v>
      </c>
      <c r="H185" s="15" t="s">
        <v>78</v>
      </c>
      <c r="I185" s="15" t="s">
        <v>143</v>
      </c>
      <c r="J185" s="15" t="s">
        <v>144</v>
      </c>
      <c r="K185" s="17" t="n">
        <v>1130.63</v>
      </c>
      <c r="L185" s="15" t="n">
        <v>1</v>
      </c>
      <c r="M185" s="18" t="n">
        <v>0.15</v>
      </c>
      <c r="N185" s="17" t="n">
        <v>912.77</v>
      </c>
      <c r="O185" s="17" t="n">
        <f aca="false">K185*L185*(1-M185)</f>
        <v>961.0355</v>
      </c>
      <c r="P185" s="17" t="n">
        <f aca="false">N185*L185</f>
        <v>912.77</v>
      </c>
      <c r="Q185" s="17" t="n">
        <f aca="false">O185-P185</f>
        <v>48.2655000000001</v>
      </c>
      <c r="R185" s="15" t="s">
        <v>71</v>
      </c>
      <c r="S185" s="15" t="s">
        <v>187</v>
      </c>
    </row>
    <row r="186" customFormat="false" ht="15" hidden="false" customHeight="true" outlineLevel="0" collapsed="false">
      <c r="A186" s="11" t="s">
        <v>322</v>
      </c>
      <c r="B186" s="12" t="n">
        <v>45441</v>
      </c>
      <c r="C186" s="11" t="s">
        <v>65</v>
      </c>
      <c r="D186" s="11" t="s">
        <v>66</v>
      </c>
      <c r="E186" s="11" t="s">
        <v>67</v>
      </c>
      <c r="F186" s="11" t="s">
        <v>41</v>
      </c>
      <c r="G186" s="11" t="s">
        <v>42</v>
      </c>
      <c r="H186" s="11" t="s">
        <v>78</v>
      </c>
      <c r="I186" s="11" t="s">
        <v>154</v>
      </c>
      <c r="J186" s="11" t="s">
        <v>186</v>
      </c>
      <c r="K186" s="13" t="n">
        <v>999.05</v>
      </c>
      <c r="L186" s="11" t="n">
        <v>16</v>
      </c>
      <c r="M186" s="14" t="n">
        <v>0.05</v>
      </c>
      <c r="N186" s="13" t="n">
        <v>794.89</v>
      </c>
      <c r="O186" s="13" t="n">
        <f aca="false">K186*L186*(1-M186)</f>
        <v>15185.56</v>
      </c>
      <c r="P186" s="13" t="n">
        <f aca="false">N186*L186</f>
        <v>12718.24</v>
      </c>
      <c r="Q186" s="13" t="n">
        <f aca="false">O186-P186</f>
        <v>2467.32</v>
      </c>
      <c r="R186" s="11" t="s">
        <v>46</v>
      </c>
      <c r="S186" s="11" t="s">
        <v>47</v>
      </c>
    </row>
    <row r="187" customFormat="false" ht="15" hidden="false" customHeight="true" outlineLevel="0" collapsed="false">
      <c r="A187" s="15" t="s">
        <v>323</v>
      </c>
      <c r="B187" s="16" t="n">
        <v>45441</v>
      </c>
      <c r="C187" s="15" t="s">
        <v>38</v>
      </c>
      <c r="D187" s="15" t="s">
        <v>39</v>
      </c>
      <c r="E187" s="15" t="s">
        <v>40</v>
      </c>
      <c r="F187" s="15" t="s">
        <v>177</v>
      </c>
      <c r="G187" s="15" t="s">
        <v>42</v>
      </c>
      <c r="H187" s="15" t="s">
        <v>78</v>
      </c>
      <c r="I187" s="15" t="s">
        <v>154</v>
      </c>
      <c r="J187" s="15" t="s">
        <v>155</v>
      </c>
      <c r="K187" s="17" t="n">
        <v>817.56</v>
      </c>
      <c r="L187" s="15" t="n">
        <v>4</v>
      </c>
      <c r="M187" s="18" t="n">
        <v>0.2</v>
      </c>
      <c r="N187" s="17" t="n">
        <v>684.44</v>
      </c>
      <c r="O187" s="17" t="n">
        <f aca="false">K187*L187*(1-M187)</f>
        <v>2616.192</v>
      </c>
      <c r="P187" s="17" t="n">
        <f aca="false">N187*L187</f>
        <v>2737.76</v>
      </c>
      <c r="Q187" s="17" t="n">
        <f aca="false">O187-P187</f>
        <v>-121.568</v>
      </c>
      <c r="R187" s="15" t="s">
        <v>63</v>
      </c>
      <c r="S187" s="15" t="s">
        <v>124</v>
      </c>
    </row>
    <row r="188" customFormat="false" ht="15" hidden="false" customHeight="true" outlineLevel="0" collapsed="false">
      <c r="A188" s="11" t="s">
        <v>324</v>
      </c>
      <c r="B188" s="12" t="n">
        <v>45441</v>
      </c>
      <c r="C188" s="11" t="s">
        <v>38</v>
      </c>
      <c r="D188" s="11" t="s">
        <v>92</v>
      </c>
      <c r="E188" s="11" t="s">
        <v>93</v>
      </c>
      <c r="F188" s="11" t="s">
        <v>109</v>
      </c>
      <c r="G188" s="11" t="s">
        <v>42</v>
      </c>
      <c r="H188" s="11" t="s">
        <v>84</v>
      </c>
      <c r="I188" s="11" t="s">
        <v>85</v>
      </c>
      <c r="J188" s="11" t="s">
        <v>86</v>
      </c>
      <c r="K188" s="13" t="n">
        <v>317.74</v>
      </c>
      <c r="L188" s="11" t="n">
        <v>7</v>
      </c>
      <c r="M188" s="14" t="n">
        <v>0</v>
      </c>
      <c r="N188" s="13" t="n">
        <v>228.29</v>
      </c>
      <c r="O188" s="13" t="n">
        <f aca="false">K188*L188*(1-M188)</f>
        <v>2224.18</v>
      </c>
      <c r="P188" s="13" t="n">
        <f aca="false">N188*L188</f>
        <v>1598.03</v>
      </c>
      <c r="Q188" s="13" t="n">
        <f aca="false">O188-P188</f>
        <v>626.15</v>
      </c>
      <c r="R188" s="11" t="s">
        <v>114</v>
      </c>
      <c r="S188" s="11" t="s">
        <v>47</v>
      </c>
    </row>
    <row r="189" customFormat="false" ht="15" hidden="false" customHeight="true" outlineLevel="0" collapsed="false">
      <c r="A189" s="15" t="s">
        <v>325</v>
      </c>
      <c r="B189" s="16" t="n">
        <v>45441</v>
      </c>
      <c r="C189" s="15" t="s">
        <v>65</v>
      </c>
      <c r="D189" s="15" t="s">
        <v>66</v>
      </c>
      <c r="E189" s="15" t="s">
        <v>67</v>
      </c>
      <c r="F189" s="15" t="s">
        <v>51</v>
      </c>
      <c r="G189" s="15" t="s">
        <v>130</v>
      </c>
      <c r="H189" s="15" t="s">
        <v>78</v>
      </c>
      <c r="I189" s="15" t="s">
        <v>154</v>
      </c>
      <c r="J189" s="15" t="s">
        <v>186</v>
      </c>
      <c r="K189" s="17" t="n">
        <v>713.16</v>
      </c>
      <c r="L189" s="15" t="n">
        <v>8</v>
      </c>
      <c r="M189" s="18" t="n">
        <v>0</v>
      </c>
      <c r="N189" s="17" t="n">
        <v>558.59</v>
      </c>
      <c r="O189" s="17" t="n">
        <f aca="false">K189*L189*(1-M189)</f>
        <v>5705.28</v>
      </c>
      <c r="P189" s="17" t="n">
        <f aca="false">N189*L189</f>
        <v>4468.72</v>
      </c>
      <c r="Q189" s="17" t="n">
        <f aca="false">O189-P189</f>
        <v>1236.56</v>
      </c>
      <c r="R189" s="15" t="s">
        <v>63</v>
      </c>
      <c r="S189" s="15" t="s">
        <v>47</v>
      </c>
    </row>
    <row r="190" customFormat="false" ht="15" hidden="false" customHeight="true" outlineLevel="0" collapsed="false">
      <c r="A190" s="11" t="s">
        <v>326</v>
      </c>
      <c r="B190" s="12" t="n">
        <v>45441</v>
      </c>
      <c r="C190" s="11" t="s">
        <v>38</v>
      </c>
      <c r="D190" s="11" t="s">
        <v>92</v>
      </c>
      <c r="E190" s="11" t="s">
        <v>93</v>
      </c>
      <c r="F190" s="11" t="s">
        <v>51</v>
      </c>
      <c r="G190" s="11" t="s">
        <v>77</v>
      </c>
      <c r="H190" s="11" t="s">
        <v>53</v>
      </c>
      <c r="I190" s="11" t="s">
        <v>94</v>
      </c>
      <c r="J190" s="11" t="s">
        <v>131</v>
      </c>
      <c r="K190" s="13" t="n">
        <v>26.87</v>
      </c>
      <c r="L190" s="11" t="n">
        <v>91</v>
      </c>
      <c r="M190" s="14" t="n">
        <v>0.1</v>
      </c>
      <c r="N190" s="13" t="n">
        <v>16.77</v>
      </c>
      <c r="O190" s="13" t="n">
        <f aca="false">K190*L190*(1-M190)</f>
        <v>2200.653</v>
      </c>
      <c r="P190" s="13" t="n">
        <f aca="false">N190*L190</f>
        <v>1526.07</v>
      </c>
      <c r="Q190" s="13" t="n">
        <f aca="false">O190-P190</f>
        <v>674.583</v>
      </c>
      <c r="R190" s="11" t="s">
        <v>63</v>
      </c>
      <c r="S190" s="11" t="s">
        <v>47</v>
      </c>
    </row>
    <row r="191" customFormat="false" ht="15" hidden="false" customHeight="true" outlineLevel="0" collapsed="false">
      <c r="A191" s="15" t="s">
        <v>327</v>
      </c>
      <c r="B191" s="16" t="n">
        <v>45442</v>
      </c>
      <c r="C191" s="15" t="s">
        <v>49</v>
      </c>
      <c r="D191" s="15" t="s">
        <v>152</v>
      </c>
      <c r="E191" s="15" t="s">
        <v>152</v>
      </c>
      <c r="F191" s="15" t="s">
        <v>68</v>
      </c>
      <c r="G191" s="15" t="s">
        <v>42</v>
      </c>
      <c r="H191" s="15" t="s">
        <v>43</v>
      </c>
      <c r="I191" s="15" t="s">
        <v>44</v>
      </c>
      <c r="J191" s="15" t="s">
        <v>106</v>
      </c>
      <c r="K191" s="17" t="n">
        <v>546.07</v>
      </c>
      <c r="L191" s="15" t="n">
        <v>19</v>
      </c>
      <c r="M191" s="18" t="n">
        <v>0</v>
      </c>
      <c r="N191" s="17" t="n">
        <v>210.06</v>
      </c>
      <c r="O191" s="17" t="n">
        <f aca="false">K191*L191*(1-M191)</f>
        <v>10375.33</v>
      </c>
      <c r="P191" s="17" t="n">
        <f aca="false">N191*L191</f>
        <v>3991.14</v>
      </c>
      <c r="Q191" s="17" t="n">
        <f aca="false">O191-P191</f>
        <v>6384.19</v>
      </c>
      <c r="R191" s="15" t="s">
        <v>46</v>
      </c>
      <c r="S191" s="15" t="s">
        <v>187</v>
      </c>
    </row>
    <row r="192" customFormat="false" ht="15" hidden="false" customHeight="true" outlineLevel="0" collapsed="false">
      <c r="A192" s="11" t="s">
        <v>328</v>
      </c>
      <c r="B192" s="12" t="n">
        <v>45443</v>
      </c>
      <c r="C192" s="11" t="s">
        <v>49</v>
      </c>
      <c r="D192" s="11" t="s">
        <v>97</v>
      </c>
      <c r="E192" s="11" t="s">
        <v>98</v>
      </c>
      <c r="F192" s="11" t="s">
        <v>118</v>
      </c>
      <c r="G192" s="11" t="s">
        <v>42</v>
      </c>
      <c r="H192" s="11" t="s">
        <v>78</v>
      </c>
      <c r="I192" s="11" t="s">
        <v>143</v>
      </c>
      <c r="J192" s="11" t="s">
        <v>144</v>
      </c>
      <c r="K192" s="13" t="n">
        <v>1432.7</v>
      </c>
      <c r="L192" s="11" t="n">
        <v>15</v>
      </c>
      <c r="M192" s="14" t="n">
        <v>0.1</v>
      </c>
      <c r="N192" s="13" t="n">
        <v>1135.21</v>
      </c>
      <c r="O192" s="13" t="n">
        <f aca="false">K192*L192*(1-M192)</f>
        <v>19341.45</v>
      </c>
      <c r="P192" s="13" t="n">
        <f aca="false">N192*L192</f>
        <v>17028.15</v>
      </c>
      <c r="Q192" s="13" t="n">
        <f aca="false">O192-P192</f>
        <v>2313.3</v>
      </c>
      <c r="R192" s="11" t="s">
        <v>114</v>
      </c>
      <c r="S192" s="11" t="s">
        <v>47</v>
      </c>
    </row>
    <row r="193" customFormat="false" ht="15" hidden="false" customHeight="true" outlineLevel="0" collapsed="false">
      <c r="A193" s="15" t="s">
        <v>329</v>
      </c>
      <c r="B193" s="16" t="n">
        <v>45444</v>
      </c>
      <c r="C193" s="15" t="s">
        <v>49</v>
      </c>
      <c r="D193" s="15" t="s">
        <v>97</v>
      </c>
      <c r="E193" s="15" t="s">
        <v>108</v>
      </c>
      <c r="F193" s="15" t="s">
        <v>41</v>
      </c>
      <c r="G193" s="15" t="s">
        <v>130</v>
      </c>
      <c r="H193" s="15" t="s">
        <v>43</v>
      </c>
      <c r="I193" s="15" t="s">
        <v>61</v>
      </c>
      <c r="J193" s="15" t="s">
        <v>147</v>
      </c>
      <c r="K193" s="17" t="n">
        <v>327.95</v>
      </c>
      <c r="L193" s="15" t="n">
        <v>6</v>
      </c>
      <c r="M193" s="18" t="n">
        <v>0.15</v>
      </c>
      <c r="N193" s="17" t="n">
        <v>118.34</v>
      </c>
      <c r="O193" s="17" t="n">
        <f aca="false">K193*L193*(1-M193)</f>
        <v>1672.545</v>
      </c>
      <c r="P193" s="17" t="n">
        <f aca="false">N193*L193</f>
        <v>710.04</v>
      </c>
      <c r="Q193" s="17" t="n">
        <f aca="false">O193-P193</f>
        <v>962.505</v>
      </c>
      <c r="R193" s="15" t="s">
        <v>63</v>
      </c>
      <c r="S193" s="15" t="s">
        <v>47</v>
      </c>
    </row>
    <row r="194" customFormat="false" ht="15" hidden="false" customHeight="true" outlineLevel="0" collapsed="false">
      <c r="A194" s="11" t="s">
        <v>330</v>
      </c>
      <c r="B194" s="12" t="n">
        <v>45445</v>
      </c>
      <c r="C194" s="11" t="s">
        <v>49</v>
      </c>
      <c r="D194" s="11" t="s">
        <v>97</v>
      </c>
      <c r="E194" s="11" t="s">
        <v>108</v>
      </c>
      <c r="F194" s="11" t="s">
        <v>109</v>
      </c>
      <c r="G194" s="11" t="s">
        <v>42</v>
      </c>
      <c r="H194" s="11" t="s">
        <v>84</v>
      </c>
      <c r="I194" s="11" t="s">
        <v>100</v>
      </c>
      <c r="J194" s="11" t="s">
        <v>139</v>
      </c>
      <c r="K194" s="13" t="n">
        <v>1045.99</v>
      </c>
      <c r="L194" s="11" t="n">
        <v>4</v>
      </c>
      <c r="M194" s="14" t="n">
        <v>0.15</v>
      </c>
      <c r="N194" s="13" t="n">
        <v>853.57</v>
      </c>
      <c r="O194" s="13" t="n">
        <f aca="false">K194*L194*(1-M194)</f>
        <v>3556.366</v>
      </c>
      <c r="P194" s="13" t="n">
        <f aca="false">N194*L194</f>
        <v>3414.28</v>
      </c>
      <c r="Q194" s="13" t="n">
        <f aca="false">O194-P194</f>
        <v>142.086</v>
      </c>
      <c r="R194" s="11" t="s">
        <v>46</v>
      </c>
      <c r="S194" s="11" t="s">
        <v>47</v>
      </c>
    </row>
    <row r="195" customFormat="false" ht="15" hidden="false" customHeight="true" outlineLevel="0" collapsed="false">
      <c r="A195" s="15" t="s">
        <v>331</v>
      </c>
      <c r="B195" s="16" t="n">
        <v>45445</v>
      </c>
      <c r="C195" s="15" t="s">
        <v>74</v>
      </c>
      <c r="D195" s="15" t="s">
        <v>75</v>
      </c>
      <c r="E195" s="15" t="s">
        <v>76</v>
      </c>
      <c r="F195" s="15" t="s">
        <v>135</v>
      </c>
      <c r="G195" s="15" t="s">
        <v>42</v>
      </c>
      <c r="H195" s="15" t="s">
        <v>53</v>
      </c>
      <c r="I195" s="15" t="s">
        <v>94</v>
      </c>
      <c r="J195" s="15" t="s">
        <v>131</v>
      </c>
      <c r="K195" s="17" t="n">
        <v>23.6</v>
      </c>
      <c r="L195" s="15" t="n">
        <v>41</v>
      </c>
      <c r="M195" s="18" t="n">
        <v>0</v>
      </c>
      <c r="N195" s="17" t="n">
        <v>16.05</v>
      </c>
      <c r="O195" s="17" t="n">
        <f aca="false">K195*L195*(1-M195)</f>
        <v>967.6</v>
      </c>
      <c r="P195" s="17" t="n">
        <f aca="false">N195*L195</f>
        <v>658.05</v>
      </c>
      <c r="Q195" s="17" t="n">
        <f aca="false">O195-P195</f>
        <v>309.55</v>
      </c>
      <c r="R195" s="15" t="s">
        <v>63</v>
      </c>
      <c r="S195" s="15" t="s">
        <v>47</v>
      </c>
    </row>
    <row r="196" customFormat="false" ht="15" hidden="false" customHeight="true" outlineLevel="0" collapsed="false">
      <c r="A196" s="11" t="s">
        <v>332</v>
      </c>
      <c r="B196" s="12" t="n">
        <v>45446</v>
      </c>
      <c r="C196" s="11" t="s">
        <v>49</v>
      </c>
      <c r="D196" s="11" t="s">
        <v>152</v>
      </c>
      <c r="E196" s="11" t="s">
        <v>152</v>
      </c>
      <c r="F196" s="11" t="s">
        <v>118</v>
      </c>
      <c r="G196" s="11" t="s">
        <v>130</v>
      </c>
      <c r="H196" s="11" t="s">
        <v>43</v>
      </c>
      <c r="I196" s="11" t="s">
        <v>44</v>
      </c>
      <c r="J196" s="11" t="s">
        <v>45</v>
      </c>
      <c r="K196" s="13" t="n">
        <v>292.48</v>
      </c>
      <c r="L196" s="11" t="n">
        <v>25</v>
      </c>
      <c r="M196" s="14" t="n">
        <v>0.1</v>
      </c>
      <c r="N196" s="13" t="n">
        <v>97.36</v>
      </c>
      <c r="O196" s="13" t="n">
        <f aca="false">K196*L196*(1-M196)</f>
        <v>6580.8</v>
      </c>
      <c r="P196" s="13" t="n">
        <f aca="false">N196*L196</f>
        <v>2434</v>
      </c>
      <c r="Q196" s="13" t="n">
        <f aca="false">O196-P196</f>
        <v>4146.8</v>
      </c>
      <c r="R196" s="11" t="s">
        <v>114</v>
      </c>
      <c r="S196" s="11" t="s">
        <v>47</v>
      </c>
    </row>
    <row r="197" customFormat="false" ht="15" hidden="false" customHeight="true" outlineLevel="0" collapsed="false">
      <c r="A197" s="15" t="s">
        <v>333</v>
      </c>
      <c r="B197" s="16" t="n">
        <v>45446</v>
      </c>
      <c r="C197" s="15" t="s">
        <v>65</v>
      </c>
      <c r="D197" s="15" t="s">
        <v>149</v>
      </c>
      <c r="E197" s="15" t="s">
        <v>150</v>
      </c>
      <c r="F197" s="15" t="s">
        <v>60</v>
      </c>
      <c r="G197" s="15" t="s">
        <v>52</v>
      </c>
      <c r="H197" s="15" t="s">
        <v>53</v>
      </c>
      <c r="I197" s="15" t="s">
        <v>54</v>
      </c>
      <c r="J197" s="15" t="s">
        <v>113</v>
      </c>
      <c r="K197" s="17" t="n">
        <v>21.13</v>
      </c>
      <c r="L197" s="15" t="n">
        <v>82</v>
      </c>
      <c r="M197" s="18" t="n">
        <v>0.1</v>
      </c>
      <c r="N197" s="17" t="n">
        <v>12.67</v>
      </c>
      <c r="O197" s="17" t="n">
        <f aca="false">K197*L197*(1-M197)</f>
        <v>1559.394</v>
      </c>
      <c r="P197" s="17" t="n">
        <f aca="false">N197*L197</f>
        <v>1038.94</v>
      </c>
      <c r="Q197" s="17" t="n">
        <f aca="false">O197-P197</f>
        <v>520.454</v>
      </c>
      <c r="R197" s="15" t="s">
        <v>114</v>
      </c>
      <c r="S197" s="15" t="s">
        <v>72</v>
      </c>
    </row>
    <row r="198" customFormat="false" ht="15" hidden="false" customHeight="true" outlineLevel="0" collapsed="false">
      <c r="A198" s="11" t="s">
        <v>334</v>
      </c>
      <c r="B198" s="12" t="n">
        <v>45447</v>
      </c>
      <c r="C198" s="11" t="s">
        <v>65</v>
      </c>
      <c r="D198" s="11" t="s">
        <v>149</v>
      </c>
      <c r="E198" s="11" t="s">
        <v>150</v>
      </c>
      <c r="F198" s="11" t="s">
        <v>177</v>
      </c>
      <c r="G198" s="11" t="s">
        <v>42</v>
      </c>
      <c r="H198" s="11" t="s">
        <v>78</v>
      </c>
      <c r="I198" s="11" t="s">
        <v>143</v>
      </c>
      <c r="J198" s="11" t="s">
        <v>144</v>
      </c>
      <c r="K198" s="13" t="n">
        <v>1211.12</v>
      </c>
      <c r="L198" s="11" t="n">
        <v>6</v>
      </c>
      <c r="M198" s="14" t="n">
        <v>0.05</v>
      </c>
      <c r="N198" s="13" t="n">
        <v>1027.9</v>
      </c>
      <c r="O198" s="13" t="n">
        <f aca="false">K198*L198*(1-M198)</f>
        <v>6903.384</v>
      </c>
      <c r="P198" s="13" t="n">
        <f aca="false">N198*L198</f>
        <v>6167.4</v>
      </c>
      <c r="Q198" s="13" t="n">
        <f aca="false">O198-P198</f>
        <v>735.983999999999</v>
      </c>
      <c r="R198" s="11" t="s">
        <v>46</v>
      </c>
      <c r="S198" s="11" t="s">
        <v>187</v>
      </c>
    </row>
    <row r="199" customFormat="false" ht="15" hidden="false" customHeight="true" outlineLevel="0" collapsed="false">
      <c r="A199" s="15" t="s">
        <v>335</v>
      </c>
      <c r="B199" s="16" t="n">
        <v>45447</v>
      </c>
      <c r="C199" s="15" t="s">
        <v>74</v>
      </c>
      <c r="D199" s="15" t="s">
        <v>75</v>
      </c>
      <c r="E199" s="15" t="s">
        <v>76</v>
      </c>
      <c r="F199" s="15" t="s">
        <v>135</v>
      </c>
      <c r="G199" s="15" t="s">
        <v>52</v>
      </c>
      <c r="H199" s="15" t="s">
        <v>43</v>
      </c>
      <c r="I199" s="15" t="s">
        <v>61</v>
      </c>
      <c r="J199" s="15" t="s">
        <v>62</v>
      </c>
      <c r="K199" s="17" t="n">
        <v>361.34</v>
      </c>
      <c r="L199" s="15" t="n">
        <v>34</v>
      </c>
      <c r="M199" s="18" t="n">
        <v>0.2</v>
      </c>
      <c r="N199" s="17" t="n">
        <v>160.07</v>
      </c>
      <c r="O199" s="17" t="n">
        <f aca="false">K199*L199*(1-M199)</f>
        <v>9828.448</v>
      </c>
      <c r="P199" s="17" t="n">
        <f aca="false">N199*L199</f>
        <v>5442.38</v>
      </c>
      <c r="Q199" s="17" t="n">
        <f aca="false">O199-P199</f>
        <v>4386.068</v>
      </c>
      <c r="R199" s="15" t="s">
        <v>63</v>
      </c>
      <c r="S199" s="15" t="s">
        <v>47</v>
      </c>
    </row>
    <row r="200" customFormat="false" ht="15" hidden="false" customHeight="true" outlineLevel="0" collapsed="false">
      <c r="A200" s="11" t="s">
        <v>336</v>
      </c>
      <c r="B200" s="12" t="n">
        <v>45447</v>
      </c>
      <c r="C200" s="11" t="s">
        <v>65</v>
      </c>
      <c r="D200" s="11" t="s">
        <v>116</v>
      </c>
      <c r="E200" s="11" t="s">
        <v>117</v>
      </c>
      <c r="F200" s="11" t="s">
        <v>51</v>
      </c>
      <c r="G200" s="11" t="s">
        <v>126</v>
      </c>
      <c r="H200" s="11" t="s">
        <v>43</v>
      </c>
      <c r="I200" s="11" t="s">
        <v>44</v>
      </c>
      <c r="J200" s="11" t="s">
        <v>106</v>
      </c>
      <c r="K200" s="13" t="n">
        <v>545.43</v>
      </c>
      <c r="L200" s="11" t="n">
        <v>6</v>
      </c>
      <c r="M200" s="14" t="n">
        <v>0.05</v>
      </c>
      <c r="N200" s="13" t="n">
        <v>209.66</v>
      </c>
      <c r="O200" s="13" t="n">
        <f aca="false">K200*L200*(1-M200)</f>
        <v>3108.951</v>
      </c>
      <c r="P200" s="13" t="n">
        <f aca="false">N200*L200</f>
        <v>1257.96</v>
      </c>
      <c r="Q200" s="13" t="n">
        <f aca="false">O200-P200</f>
        <v>1850.991</v>
      </c>
      <c r="R200" s="11" t="s">
        <v>71</v>
      </c>
      <c r="S200" s="11" t="s">
        <v>72</v>
      </c>
    </row>
    <row r="201" customFormat="false" ht="15" hidden="false" customHeight="true" outlineLevel="0" collapsed="false">
      <c r="A201" s="15" t="s">
        <v>337</v>
      </c>
      <c r="B201" s="16" t="n">
        <v>45448</v>
      </c>
      <c r="C201" s="15" t="s">
        <v>38</v>
      </c>
      <c r="D201" s="15" t="s">
        <v>92</v>
      </c>
      <c r="E201" s="15" t="s">
        <v>93</v>
      </c>
      <c r="F201" s="15" t="s">
        <v>118</v>
      </c>
      <c r="G201" s="15" t="s">
        <v>52</v>
      </c>
      <c r="H201" s="15" t="s">
        <v>53</v>
      </c>
      <c r="I201" s="15" t="s">
        <v>94</v>
      </c>
      <c r="J201" s="15" t="s">
        <v>131</v>
      </c>
      <c r="K201" s="17" t="n">
        <v>54.05</v>
      </c>
      <c r="L201" s="15" t="n">
        <v>6</v>
      </c>
      <c r="M201" s="18" t="n">
        <v>0.1</v>
      </c>
      <c r="N201" s="17" t="n">
        <v>30.66</v>
      </c>
      <c r="O201" s="17" t="n">
        <f aca="false">K201*L201*(1-M201)</f>
        <v>291.87</v>
      </c>
      <c r="P201" s="17" t="n">
        <f aca="false">N201*L201</f>
        <v>183.96</v>
      </c>
      <c r="Q201" s="17" t="n">
        <f aca="false">O201-P201</f>
        <v>107.91</v>
      </c>
      <c r="R201" s="15" t="s">
        <v>167</v>
      </c>
      <c r="S201" s="15" t="s">
        <v>47</v>
      </c>
    </row>
    <row r="202" customFormat="false" ht="15" hidden="false" customHeight="true" outlineLevel="0" collapsed="false">
      <c r="A202" s="11" t="s">
        <v>338</v>
      </c>
      <c r="B202" s="12" t="n">
        <v>45448</v>
      </c>
      <c r="C202" s="11" t="s">
        <v>49</v>
      </c>
      <c r="D202" s="11" t="s">
        <v>97</v>
      </c>
      <c r="E202" s="11" t="s">
        <v>112</v>
      </c>
      <c r="F202" s="11" t="s">
        <v>123</v>
      </c>
      <c r="G202" s="11" t="s">
        <v>130</v>
      </c>
      <c r="H202" s="11" t="s">
        <v>53</v>
      </c>
      <c r="I202" s="11" t="s">
        <v>94</v>
      </c>
      <c r="J202" s="11" t="s">
        <v>95</v>
      </c>
      <c r="K202" s="13" t="n">
        <v>24.01</v>
      </c>
      <c r="L202" s="11" t="n">
        <v>86</v>
      </c>
      <c r="M202" s="14" t="n">
        <v>0.2</v>
      </c>
      <c r="N202" s="13" t="n">
        <v>14.19</v>
      </c>
      <c r="O202" s="13" t="n">
        <f aca="false">K202*L202*(1-M202)</f>
        <v>1651.888</v>
      </c>
      <c r="P202" s="13" t="n">
        <f aca="false">N202*L202</f>
        <v>1220.34</v>
      </c>
      <c r="Q202" s="13" t="n">
        <f aca="false">O202-P202</f>
        <v>431.548</v>
      </c>
      <c r="R202" s="11" t="s">
        <v>63</v>
      </c>
      <c r="S202" s="11" t="s">
        <v>47</v>
      </c>
    </row>
    <row r="203" customFormat="false" ht="15" hidden="false" customHeight="true" outlineLevel="0" collapsed="false">
      <c r="A203" s="15" t="s">
        <v>339</v>
      </c>
      <c r="B203" s="16" t="n">
        <v>45449</v>
      </c>
      <c r="C203" s="15" t="s">
        <v>65</v>
      </c>
      <c r="D203" s="15" t="s">
        <v>66</v>
      </c>
      <c r="E203" s="15" t="s">
        <v>67</v>
      </c>
      <c r="F203" s="15" t="s">
        <v>60</v>
      </c>
      <c r="G203" s="15" t="s">
        <v>77</v>
      </c>
      <c r="H203" s="15" t="s">
        <v>78</v>
      </c>
      <c r="I203" s="15" t="s">
        <v>79</v>
      </c>
      <c r="J203" s="15" t="s">
        <v>80</v>
      </c>
      <c r="K203" s="17" t="n">
        <v>4157.68</v>
      </c>
      <c r="L203" s="15" t="n">
        <v>11</v>
      </c>
      <c r="M203" s="18" t="n">
        <v>0.05</v>
      </c>
      <c r="N203" s="17" t="n">
        <v>3476.85</v>
      </c>
      <c r="O203" s="17" t="n">
        <f aca="false">K203*L203*(1-M203)</f>
        <v>43447.756</v>
      </c>
      <c r="P203" s="17" t="n">
        <f aca="false">N203*L203</f>
        <v>38245.35</v>
      </c>
      <c r="Q203" s="17" t="n">
        <f aca="false">O203-P203</f>
        <v>5202.406</v>
      </c>
      <c r="R203" s="15" t="s">
        <v>71</v>
      </c>
      <c r="S203" s="15" t="s">
        <v>124</v>
      </c>
    </row>
    <row r="204" customFormat="false" ht="15" hidden="false" customHeight="true" outlineLevel="0" collapsed="false">
      <c r="A204" s="11" t="s">
        <v>340</v>
      </c>
      <c r="B204" s="12" t="n">
        <v>45453</v>
      </c>
      <c r="C204" s="11" t="s">
        <v>38</v>
      </c>
      <c r="D204" s="11" t="s">
        <v>92</v>
      </c>
      <c r="E204" s="11" t="s">
        <v>93</v>
      </c>
      <c r="F204" s="11" t="s">
        <v>68</v>
      </c>
      <c r="G204" s="11" t="s">
        <v>77</v>
      </c>
      <c r="H204" s="11" t="s">
        <v>84</v>
      </c>
      <c r="I204" s="11" t="s">
        <v>136</v>
      </c>
      <c r="J204" s="11" t="s">
        <v>137</v>
      </c>
      <c r="K204" s="13" t="n">
        <v>278.71</v>
      </c>
      <c r="L204" s="11" t="n">
        <v>37</v>
      </c>
      <c r="M204" s="14" t="n">
        <v>0</v>
      </c>
      <c r="N204" s="13" t="n">
        <v>205.37</v>
      </c>
      <c r="O204" s="13" t="n">
        <f aca="false">K204*L204*(1-M204)</f>
        <v>10312.27</v>
      </c>
      <c r="P204" s="13" t="n">
        <f aca="false">N204*L204</f>
        <v>7598.69</v>
      </c>
      <c r="Q204" s="13" t="n">
        <f aca="false">O204-P204</f>
        <v>2713.58</v>
      </c>
      <c r="R204" s="11" t="s">
        <v>114</v>
      </c>
      <c r="S204" s="11" t="s">
        <v>47</v>
      </c>
    </row>
    <row r="205" customFormat="false" ht="15" hidden="false" customHeight="true" outlineLevel="0" collapsed="false">
      <c r="A205" s="15" t="s">
        <v>341</v>
      </c>
      <c r="B205" s="16" t="n">
        <v>45454</v>
      </c>
      <c r="C205" s="15" t="s">
        <v>57</v>
      </c>
      <c r="D205" s="15" t="s">
        <v>103</v>
      </c>
      <c r="E205" s="15" t="s">
        <v>104</v>
      </c>
      <c r="F205" s="15" t="s">
        <v>135</v>
      </c>
      <c r="G205" s="15" t="s">
        <v>42</v>
      </c>
      <c r="H205" s="15" t="s">
        <v>84</v>
      </c>
      <c r="I205" s="15" t="s">
        <v>100</v>
      </c>
      <c r="J205" s="15" t="s">
        <v>101</v>
      </c>
      <c r="K205" s="17" t="n">
        <v>1227.79</v>
      </c>
      <c r="L205" s="15" t="n">
        <v>3</v>
      </c>
      <c r="M205" s="18" t="n">
        <v>0</v>
      </c>
      <c r="N205" s="17" t="n">
        <v>988.04</v>
      </c>
      <c r="O205" s="17" t="n">
        <f aca="false">K205*L205*(1-M205)</f>
        <v>3683.37</v>
      </c>
      <c r="P205" s="17" t="n">
        <f aca="false">N205*L205</f>
        <v>2964.12</v>
      </c>
      <c r="Q205" s="17" t="n">
        <f aca="false">O205-P205</f>
        <v>719.25</v>
      </c>
      <c r="R205" s="15" t="s">
        <v>46</v>
      </c>
      <c r="S205" s="15" t="s">
        <v>47</v>
      </c>
    </row>
    <row r="206" customFormat="false" ht="15" hidden="false" customHeight="true" outlineLevel="0" collapsed="false">
      <c r="A206" s="11" t="s">
        <v>342</v>
      </c>
      <c r="B206" s="12" t="n">
        <v>45455</v>
      </c>
      <c r="C206" s="11" t="s">
        <v>65</v>
      </c>
      <c r="D206" s="11" t="s">
        <v>66</v>
      </c>
      <c r="E206" s="11" t="s">
        <v>67</v>
      </c>
      <c r="F206" s="11" t="s">
        <v>41</v>
      </c>
      <c r="G206" s="11" t="s">
        <v>42</v>
      </c>
      <c r="H206" s="11" t="s">
        <v>78</v>
      </c>
      <c r="I206" s="11" t="s">
        <v>120</v>
      </c>
      <c r="J206" s="11" t="s">
        <v>232</v>
      </c>
      <c r="K206" s="13" t="n">
        <v>251.45</v>
      </c>
      <c r="L206" s="11" t="n">
        <v>33</v>
      </c>
      <c r="M206" s="14" t="n">
        <v>0</v>
      </c>
      <c r="N206" s="13" t="n">
        <v>186.66</v>
      </c>
      <c r="O206" s="13" t="n">
        <f aca="false">K206*L206*(1-M206)</f>
        <v>8297.85</v>
      </c>
      <c r="P206" s="13" t="n">
        <f aca="false">N206*L206</f>
        <v>6159.78</v>
      </c>
      <c r="Q206" s="13" t="n">
        <f aca="false">O206-P206</f>
        <v>2138.07</v>
      </c>
      <c r="R206" s="11" t="s">
        <v>46</v>
      </c>
      <c r="S206" s="11" t="s">
        <v>47</v>
      </c>
    </row>
    <row r="207" customFormat="false" ht="15" hidden="false" customHeight="true" outlineLevel="0" collapsed="false">
      <c r="A207" s="15" t="s">
        <v>343</v>
      </c>
      <c r="B207" s="16" t="n">
        <v>45455</v>
      </c>
      <c r="C207" s="15" t="s">
        <v>65</v>
      </c>
      <c r="D207" s="15" t="s">
        <v>66</v>
      </c>
      <c r="E207" s="15" t="s">
        <v>67</v>
      </c>
      <c r="F207" s="15" t="s">
        <v>135</v>
      </c>
      <c r="G207" s="15" t="s">
        <v>130</v>
      </c>
      <c r="H207" s="15" t="s">
        <v>84</v>
      </c>
      <c r="I207" s="15" t="s">
        <v>100</v>
      </c>
      <c r="J207" s="15" t="s">
        <v>101</v>
      </c>
      <c r="K207" s="17" t="n">
        <v>2063.54</v>
      </c>
      <c r="L207" s="15" t="n">
        <v>2</v>
      </c>
      <c r="M207" s="18" t="n">
        <v>0</v>
      </c>
      <c r="N207" s="17" t="n">
        <v>1586.14</v>
      </c>
      <c r="O207" s="17" t="n">
        <f aca="false">K207*L207*(1-M207)</f>
        <v>4127.08</v>
      </c>
      <c r="P207" s="17" t="n">
        <f aca="false">N207*L207</f>
        <v>3172.28</v>
      </c>
      <c r="Q207" s="17" t="n">
        <f aca="false">O207-P207</f>
        <v>954.8</v>
      </c>
      <c r="R207" s="15" t="s">
        <v>71</v>
      </c>
      <c r="S207" s="15" t="s">
        <v>47</v>
      </c>
    </row>
    <row r="208" customFormat="false" ht="15" hidden="false" customHeight="true" outlineLevel="0" collapsed="false">
      <c r="A208" s="11" t="s">
        <v>344</v>
      </c>
      <c r="B208" s="12" t="n">
        <v>45456</v>
      </c>
      <c r="C208" s="11" t="s">
        <v>65</v>
      </c>
      <c r="D208" s="11" t="s">
        <v>149</v>
      </c>
      <c r="E208" s="11" t="s">
        <v>150</v>
      </c>
      <c r="F208" s="11" t="s">
        <v>123</v>
      </c>
      <c r="G208" s="11" t="s">
        <v>77</v>
      </c>
      <c r="H208" s="11" t="s">
        <v>53</v>
      </c>
      <c r="I208" s="11" t="s">
        <v>94</v>
      </c>
      <c r="J208" s="11" t="s">
        <v>95</v>
      </c>
      <c r="K208" s="13" t="n">
        <v>28.35</v>
      </c>
      <c r="L208" s="11" t="n">
        <v>88</v>
      </c>
      <c r="M208" s="14" t="n">
        <v>0</v>
      </c>
      <c r="N208" s="13" t="n">
        <v>19.38</v>
      </c>
      <c r="O208" s="13" t="n">
        <f aca="false">K208*L208*(1-M208)</f>
        <v>2494.8</v>
      </c>
      <c r="P208" s="13" t="n">
        <f aca="false">N208*L208</f>
        <v>1705.44</v>
      </c>
      <c r="Q208" s="13" t="n">
        <f aca="false">O208-P208</f>
        <v>789.36</v>
      </c>
      <c r="R208" s="11" t="s">
        <v>46</v>
      </c>
      <c r="S208" s="11" t="s">
        <v>47</v>
      </c>
    </row>
    <row r="209" customFormat="false" ht="15" hidden="false" customHeight="true" outlineLevel="0" collapsed="false">
      <c r="A209" s="15" t="s">
        <v>345</v>
      </c>
      <c r="B209" s="16" t="n">
        <v>45456</v>
      </c>
      <c r="C209" s="15" t="s">
        <v>49</v>
      </c>
      <c r="D209" s="15" t="s">
        <v>97</v>
      </c>
      <c r="E209" s="15" t="s">
        <v>112</v>
      </c>
      <c r="F209" s="15" t="s">
        <v>51</v>
      </c>
      <c r="G209" s="15" t="s">
        <v>52</v>
      </c>
      <c r="H209" s="15" t="s">
        <v>78</v>
      </c>
      <c r="I209" s="15" t="s">
        <v>154</v>
      </c>
      <c r="J209" s="15" t="s">
        <v>186</v>
      </c>
      <c r="K209" s="17" t="n">
        <v>797.44</v>
      </c>
      <c r="L209" s="15" t="n">
        <v>12</v>
      </c>
      <c r="M209" s="18" t="n">
        <v>0</v>
      </c>
      <c r="N209" s="17" t="n">
        <v>657.89</v>
      </c>
      <c r="O209" s="17" t="n">
        <f aca="false">K209*L209*(1-M209)</f>
        <v>9569.28</v>
      </c>
      <c r="P209" s="17" t="n">
        <f aca="false">N209*L209</f>
        <v>7894.68</v>
      </c>
      <c r="Q209" s="17" t="n">
        <f aca="false">O209-P209</f>
        <v>1674.6</v>
      </c>
      <c r="R209" s="15" t="s">
        <v>46</v>
      </c>
      <c r="S209" s="15" t="s">
        <v>47</v>
      </c>
    </row>
    <row r="210" customFormat="false" ht="15" hidden="false" customHeight="true" outlineLevel="0" collapsed="false">
      <c r="A210" s="11" t="s">
        <v>346</v>
      </c>
      <c r="B210" s="12" t="n">
        <v>45456</v>
      </c>
      <c r="C210" s="11" t="s">
        <v>65</v>
      </c>
      <c r="D210" s="11" t="s">
        <v>66</v>
      </c>
      <c r="E210" s="11" t="s">
        <v>67</v>
      </c>
      <c r="F210" s="11" t="s">
        <v>135</v>
      </c>
      <c r="G210" s="11" t="s">
        <v>52</v>
      </c>
      <c r="H210" s="11" t="s">
        <v>78</v>
      </c>
      <c r="I210" s="11" t="s">
        <v>143</v>
      </c>
      <c r="J210" s="11" t="s">
        <v>144</v>
      </c>
      <c r="K210" s="13" t="n">
        <v>1424.91</v>
      </c>
      <c r="L210" s="11" t="n">
        <v>18</v>
      </c>
      <c r="M210" s="14" t="n">
        <v>0.2</v>
      </c>
      <c r="N210" s="13" t="n">
        <v>1159.54</v>
      </c>
      <c r="O210" s="13" t="n">
        <f aca="false">K210*L210*(1-M210)</f>
        <v>20518.704</v>
      </c>
      <c r="P210" s="13" t="n">
        <f aca="false">N210*L210</f>
        <v>20871.72</v>
      </c>
      <c r="Q210" s="13" t="n">
        <f aca="false">O210-P210</f>
        <v>-353.016</v>
      </c>
      <c r="R210" s="11" t="s">
        <v>167</v>
      </c>
      <c r="S210" s="11" t="s">
        <v>47</v>
      </c>
    </row>
    <row r="211" customFormat="false" ht="15" hidden="false" customHeight="true" outlineLevel="0" collapsed="false">
      <c r="A211" s="15" t="s">
        <v>347</v>
      </c>
      <c r="B211" s="16" t="n">
        <v>45457</v>
      </c>
      <c r="C211" s="15" t="s">
        <v>38</v>
      </c>
      <c r="D211" s="15" t="s">
        <v>39</v>
      </c>
      <c r="E211" s="15" t="s">
        <v>40</v>
      </c>
      <c r="F211" s="15" t="s">
        <v>51</v>
      </c>
      <c r="G211" s="15" t="s">
        <v>42</v>
      </c>
      <c r="H211" s="15" t="s">
        <v>84</v>
      </c>
      <c r="I211" s="15" t="s">
        <v>136</v>
      </c>
      <c r="J211" s="15" t="s">
        <v>137</v>
      </c>
      <c r="K211" s="17" t="n">
        <v>211.84</v>
      </c>
      <c r="L211" s="15" t="n">
        <v>6</v>
      </c>
      <c r="M211" s="18" t="n">
        <v>0.15</v>
      </c>
      <c r="N211" s="17" t="n">
        <v>152.67</v>
      </c>
      <c r="O211" s="17" t="n">
        <f aca="false">K211*L211*(1-M211)</f>
        <v>1080.384</v>
      </c>
      <c r="P211" s="17" t="n">
        <f aca="false">N211*L211</f>
        <v>916.02</v>
      </c>
      <c r="Q211" s="17" t="n">
        <f aca="false">O211-P211</f>
        <v>164.364</v>
      </c>
      <c r="R211" s="15" t="s">
        <v>63</v>
      </c>
      <c r="S211" s="15" t="s">
        <v>47</v>
      </c>
    </row>
    <row r="212" customFormat="false" ht="15" hidden="false" customHeight="true" outlineLevel="0" collapsed="false">
      <c r="A212" s="11" t="s">
        <v>348</v>
      </c>
      <c r="B212" s="12" t="n">
        <v>45457</v>
      </c>
      <c r="C212" s="11" t="s">
        <v>57</v>
      </c>
      <c r="D212" s="11" t="s">
        <v>103</v>
      </c>
      <c r="E212" s="11" t="s">
        <v>104</v>
      </c>
      <c r="F212" s="11" t="s">
        <v>177</v>
      </c>
      <c r="G212" s="11" t="s">
        <v>126</v>
      </c>
      <c r="H212" s="11" t="s">
        <v>78</v>
      </c>
      <c r="I212" s="11" t="s">
        <v>143</v>
      </c>
      <c r="J212" s="11" t="s">
        <v>144</v>
      </c>
      <c r="K212" s="13" t="n">
        <v>1463.6</v>
      </c>
      <c r="L212" s="11" t="n">
        <v>14</v>
      </c>
      <c r="M212" s="14" t="n">
        <v>0</v>
      </c>
      <c r="N212" s="13" t="n">
        <v>1205.55</v>
      </c>
      <c r="O212" s="13" t="n">
        <f aca="false">K212*L212*(1-M212)</f>
        <v>20490.4</v>
      </c>
      <c r="P212" s="13" t="n">
        <f aca="false">N212*L212</f>
        <v>16877.7</v>
      </c>
      <c r="Q212" s="13" t="n">
        <f aca="false">O212-P212</f>
        <v>3612.7</v>
      </c>
      <c r="R212" s="11" t="s">
        <v>114</v>
      </c>
      <c r="S212" s="11" t="s">
        <v>47</v>
      </c>
    </row>
    <row r="213" customFormat="false" ht="15" hidden="false" customHeight="true" outlineLevel="0" collapsed="false">
      <c r="A213" s="15" t="s">
        <v>349</v>
      </c>
      <c r="B213" s="16" t="n">
        <v>45458</v>
      </c>
      <c r="C213" s="15" t="s">
        <v>38</v>
      </c>
      <c r="D213" s="15" t="s">
        <v>88</v>
      </c>
      <c r="E213" s="15" t="s">
        <v>89</v>
      </c>
      <c r="F213" s="15" t="s">
        <v>51</v>
      </c>
      <c r="G213" s="15" t="s">
        <v>52</v>
      </c>
      <c r="H213" s="15" t="s">
        <v>78</v>
      </c>
      <c r="I213" s="15" t="s">
        <v>154</v>
      </c>
      <c r="J213" s="15" t="s">
        <v>186</v>
      </c>
      <c r="K213" s="17" t="n">
        <v>606.36</v>
      </c>
      <c r="L213" s="15" t="n">
        <v>13</v>
      </c>
      <c r="M213" s="18" t="n">
        <v>0.1</v>
      </c>
      <c r="N213" s="17" t="n">
        <v>497.96</v>
      </c>
      <c r="O213" s="17" t="n">
        <f aca="false">K213*L213*(1-M213)</f>
        <v>7094.412</v>
      </c>
      <c r="P213" s="17" t="n">
        <f aca="false">N213*L213</f>
        <v>6473.48</v>
      </c>
      <c r="Q213" s="17" t="n">
        <f aca="false">O213-P213</f>
        <v>620.932000000001</v>
      </c>
      <c r="R213" s="15" t="s">
        <v>46</v>
      </c>
      <c r="S213" s="15" t="s">
        <v>47</v>
      </c>
    </row>
    <row r="214" customFormat="false" ht="15" hidden="false" customHeight="true" outlineLevel="0" collapsed="false">
      <c r="A214" s="11" t="s">
        <v>350</v>
      </c>
      <c r="B214" s="12" t="n">
        <v>45458</v>
      </c>
      <c r="C214" s="11" t="s">
        <v>74</v>
      </c>
      <c r="D214" s="11" t="s">
        <v>171</v>
      </c>
      <c r="E214" s="11" t="s">
        <v>172</v>
      </c>
      <c r="F214" s="11" t="s">
        <v>109</v>
      </c>
      <c r="G214" s="11" t="s">
        <v>126</v>
      </c>
      <c r="H214" s="11" t="s">
        <v>53</v>
      </c>
      <c r="I214" s="11" t="s">
        <v>69</v>
      </c>
      <c r="J214" s="11" t="s">
        <v>128</v>
      </c>
      <c r="K214" s="13" t="n">
        <v>14.76</v>
      </c>
      <c r="L214" s="11" t="n">
        <v>152</v>
      </c>
      <c r="M214" s="14" t="n">
        <v>0.1</v>
      </c>
      <c r="N214" s="13" t="n">
        <v>10.47</v>
      </c>
      <c r="O214" s="13" t="n">
        <f aca="false">K214*L214*(1-M214)</f>
        <v>2019.168</v>
      </c>
      <c r="P214" s="13" t="n">
        <f aca="false">N214*L214</f>
        <v>1591.44</v>
      </c>
      <c r="Q214" s="13" t="n">
        <f aca="false">O214-P214</f>
        <v>427.728</v>
      </c>
      <c r="R214" s="11" t="s">
        <v>63</v>
      </c>
      <c r="S214" s="11" t="s">
        <v>47</v>
      </c>
    </row>
    <row r="215" customFormat="false" ht="15" hidden="false" customHeight="true" outlineLevel="0" collapsed="false">
      <c r="A215" s="15" t="s">
        <v>351</v>
      </c>
      <c r="B215" s="16" t="n">
        <v>45459</v>
      </c>
      <c r="C215" s="15" t="s">
        <v>65</v>
      </c>
      <c r="D215" s="15" t="s">
        <v>66</v>
      </c>
      <c r="E215" s="15" t="s">
        <v>67</v>
      </c>
      <c r="F215" s="15" t="s">
        <v>51</v>
      </c>
      <c r="G215" s="15" t="s">
        <v>42</v>
      </c>
      <c r="H215" s="15" t="s">
        <v>53</v>
      </c>
      <c r="I215" s="15" t="s">
        <v>54</v>
      </c>
      <c r="J215" s="15" t="s">
        <v>113</v>
      </c>
      <c r="K215" s="17" t="n">
        <v>23.8</v>
      </c>
      <c r="L215" s="15" t="n">
        <v>71</v>
      </c>
      <c r="M215" s="18" t="n">
        <v>0.2</v>
      </c>
      <c r="N215" s="17" t="n">
        <v>16.02</v>
      </c>
      <c r="O215" s="17" t="n">
        <f aca="false">K215*L215*(1-M215)</f>
        <v>1351.84</v>
      </c>
      <c r="P215" s="17" t="n">
        <f aca="false">N215*L215</f>
        <v>1137.42</v>
      </c>
      <c r="Q215" s="17" t="n">
        <f aca="false">O215-P215</f>
        <v>214.42</v>
      </c>
      <c r="R215" s="15" t="s">
        <v>46</v>
      </c>
      <c r="S215" s="15" t="s">
        <v>47</v>
      </c>
    </row>
    <row r="216" customFormat="false" ht="15" hidden="false" customHeight="true" outlineLevel="0" collapsed="false">
      <c r="A216" s="11" t="s">
        <v>352</v>
      </c>
      <c r="B216" s="12" t="n">
        <v>45460</v>
      </c>
      <c r="C216" s="11" t="s">
        <v>49</v>
      </c>
      <c r="D216" s="11" t="s">
        <v>97</v>
      </c>
      <c r="E216" s="11" t="s">
        <v>108</v>
      </c>
      <c r="F216" s="11" t="s">
        <v>177</v>
      </c>
      <c r="G216" s="11" t="s">
        <v>42</v>
      </c>
      <c r="H216" s="11" t="s">
        <v>53</v>
      </c>
      <c r="I216" s="11" t="s">
        <v>94</v>
      </c>
      <c r="J216" s="11" t="s">
        <v>95</v>
      </c>
      <c r="K216" s="13" t="n">
        <v>41.96</v>
      </c>
      <c r="L216" s="11" t="n">
        <v>19</v>
      </c>
      <c r="M216" s="14" t="n">
        <v>0.1</v>
      </c>
      <c r="N216" s="13" t="n">
        <v>27.88</v>
      </c>
      <c r="O216" s="13" t="n">
        <f aca="false">K216*L216*(1-M216)</f>
        <v>717.516</v>
      </c>
      <c r="P216" s="13" t="n">
        <f aca="false">N216*L216</f>
        <v>529.72</v>
      </c>
      <c r="Q216" s="13" t="n">
        <f aca="false">O216-P216</f>
        <v>187.796</v>
      </c>
      <c r="R216" s="11" t="s">
        <v>63</v>
      </c>
      <c r="S216" s="11" t="s">
        <v>47</v>
      </c>
    </row>
    <row r="217" customFormat="false" ht="15" hidden="false" customHeight="true" outlineLevel="0" collapsed="false">
      <c r="A217" s="15" t="s">
        <v>353</v>
      </c>
      <c r="B217" s="16" t="n">
        <v>45461</v>
      </c>
      <c r="C217" s="15" t="s">
        <v>49</v>
      </c>
      <c r="D217" s="15" t="s">
        <v>50</v>
      </c>
      <c r="E217" s="15" t="s">
        <v>50</v>
      </c>
      <c r="F217" s="15" t="s">
        <v>68</v>
      </c>
      <c r="G217" s="15" t="s">
        <v>126</v>
      </c>
      <c r="H217" s="15" t="s">
        <v>84</v>
      </c>
      <c r="I217" s="15" t="s">
        <v>85</v>
      </c>
      <c r="J217" s="15" t="s">
        <v>86</v>
      </c>
      <c r="K217" s="17" t="n">
        <v>529.74</v>
      </c>
      <c r="L217" s="15" t="n">
        <v>9</v>
      </c>
      <c r="M217" s="18" t="n">
        <v>0</v>
      </c>
      <c r="N217" s="17" t="n">
        <v>397.15</v>
      </c>
      <c r="O217" s="17" t="n">
        <f aca="false">K217*L217*(1-M217)</f>
        <v>4767.66</v>
      </c>
      <c r="P217" s="17" t="n">
        <f aca="false">N217*L217</f>
        <v>3574.35</v>
      </c>
      <c r="Q217" s="17" t="n">
        <f aca="false">O217-P217</f>
        <v>1193.31</v>
      </c>
      <c r="R217" s="15" t="s">
        <v>46</v>
      </c>
      <c r="S217" s="15" t="s">
        <v>47</v>
      </c>
    </row>
    <row r="218" customFormat="false" ht="15" hidden="false" customHeight="true" outlineLevel="0" collapsed="false">
      <c r="A218" s="11" t="s">
        <v>354</v>
      </c>
      <c r="B218" s="12" t="n">
        <v>45461</v>
      </c>
      <c r="C218" s="11" t="s">
        <v>74</v>
      </c>
      <c r="D218" s="11" t="s">
        <v>75</v>
      </c>
      <c r="E218" s="11" t="s">
        <v>76</v>
      </c>
      <c r="F218" s="11" t="s">
        <v>109</v>
      </c>
      <c r="G218" s="11" t="s">
        <v>130</v>
      </c>
      <c r="H218" s="11" t="s">
        <v>53</v>
      </c>
      <c r="I218" s="11" t="s">
        <v>54</v>
      </c>
      <c r="J218" s="11" t="s">
        <v>113</v>
      </c>
      <c r="K218" s="13" t="n">
        <v>26.32</v>
      </c>
      <c r="L218" s="11" t="n">
        <v>35</v>
      </c>
      <c r="M218" s="14" t="n">
        <v>0.05</v>
      </c>
      <c r="N218" s="13" t="n">
        <v>16.85</v>
      </c>
      <c r="O218" s="13" t="n">
        <f aca="false">K218*L218*(1-M218)</f>
        <v>875.14</v>
      </c>
      <c r="P218" s="13" t="n">
        <f aca="false">N218*L218</f>
        <v>589.75</v>
      </c>
      <c r="Q218" s="13" t="n">
        <f aca="false">O218-P218</f>
        <v>285.39</v>
      </c>
      <c r="R218" s="11" t="s">
        <v>63</v>
      </c>
      <c r="S218" s="11" t="s">
        <v>47</v>
      </c>
    </row>
    <row r="219" customFormat="false" ht="15" hidden="false" customHeight="true" outlineLevel="0" collapsed="false">
      <c r="A219" s="15" t="s">
        <v>355</v>
      </c>
      <c r="B219" s="16" t="n">
        <v>45462</v>
      </c>
      <c r="C219" s="15" t="s">
        <v>49</v>
      </c>
      <c r="D219" s="15" t="s">
        <v>97</v>
      </c>
      <c r="E219" s="15" t="s">
        <v>108</v>
      </c>
      <c r="F219" s="15" t="s">
        <v>123</v>
      </c>
      <c r="G219" s="15" t="s">
        <v>77</v>
      </c>
      <c r="H219" s="15" t="s">
        <v>53</v>
      </c>
      <c r="I219" s="15" t="s">
        <v>54</v>
      </c>
      <c r="J219" s="15" t="s">
        <v>55</v>
      </c>
      <c r="K219" s="17" t="n">
        <v>9.5</v>
      </c>
      <c r="L219" s="15" t="n">
        <v>173</v>
      </c>
      <c r="M219" s="18" t="n">
        <v>0</v>
      </c>
      <c r="N219" s="17" t="n">
        <v>6.19</v>
      </c>
      <c r="O219" s="17" t="n">
        <f aca="false">K219*L219*(1-M219)</f>
        <v>1643.5</v>
      </c>
      <c r="P219" s="17" t="n">
        <f aca="false">N219*L219</f>
        <v>1070.87</v>
      </c>
      <c r="Q219" s="17" t="n">
        <f aca="false">O219-P219</f>
        <v>572.63</v>
      </c>
      <c r="R219" s="15" t="s">
        <v>114</v>
      </c>
      <c r="S219" s="15" t="s">
        <v>47</v>
      </c>
    </row>
    <row r="220" customFormat="false" ht="15" hidden="false" customHeight="true" outlineLevel="0" collapsed="false">
      <c r="A220" s="11" t="s">
        <v>356</v>
      </c>
      <c r="B220" s="12" t="n">
        <v>45462</v>
      </c>
      <c r="C220" s="11" t="s">
        <v>38</v>
      </c>
      <c r="D220" s="11" t="s">
        <v>39</v>
      </c>
      <c r="E220" s="11" t="s">
        <v>40</v>
      </c>
      <c r="F220" s="11" t="s">
        <v>41</v>
      </c>
      <c r="G220" s="11" t="s">
        <v>52</v>
      </c>
      <c r="H220" s="11" t="s">
        <v>53</v>
      </c>
      <c r="I220" s="11" t="s">
        <v>54</v>
      </c>
      <c r="J220" s="11" t="s">
        <v>55</v>
      </c>
      <c r="K220" s="13" t="n">
        <v>22.81</v>
      </c>
      <c r="L220" s="11" t="n">
        <v>111</v>
      </c>
      <c r="M220" s="14" t="n">
        <v>0.05</v>
      </c>
      <c r="N220" s="13" t="n">
        <v>14.93</v>
      </c>
      <c r="O220" s="13" t="n">
        <f aca="false">K220*L220*(1-M220)</f>
        <v>2405.3145</v>
      </c>
      <c r="P220" s="13" t="n">
        <f aca="false">N220*L220</f>
        <v>1657.23</v>
      </c>
      <c r="Q220" s="13" t="n">
        <f aca="false">O220-P220</f>
        <v>748.0845</v>
      </c>
      <c r="R220" s="11" t="s">
        <v>63</v>
      </c>
      <c r="S220" s="11" t="s">
        <v>47</v>
      </c>
    </row>
    <row r="221" customFormat="false" ht="15" hidden="false" customHeight="true" outlineLevel="0" collapsed="false">
      <c r="A221" s="15" t="s">
        <v>357</v>
      </c>
      <c r="B221" s="16" t="n">
        <v>45463</v>
      </c>
      <c r="C221" s="15" t="s">
        <v>38</v>
      </c>
      <c r="D221" s="15" t="s">
        <v>39</v>
      </c>
      <c r="E221" s="15" t="s">
        <v>40</v>
      </c>
      <c r="F221" s="15" t="s">
        <v>41</v>
      </c>
      <c r="G221" s="15" t="s">
        <v>126</v>
      </c>
      <c r="H221" s="15" t="s">
        <v>78</v>
      </c>
      <c r="I221" s="15" t="s">
        <v>120</v>
      </c>
      <c r="J221" s="15" t="s">
        <v>232</v>
      </c>
      <c r="K221" s="17" t="n">
        <v>230.16</v>
      </c>
      <c r="L221" s="15" t="n">
        <v>35</v>
      </c>
      <c r="M221" s="18" t="n">
        <v>0.05</v>
      </c>
      <c r="N221" s="17" t="n">
        <v>168.11</v>
      </c>
      <c r="O221" s="17" t="n">
        <f aca="false">K221*L221*(1-M221)</f>
        <v>7652.82</v>
      </c>
      <c r="P221" s="17" t="n">
        <f aca="false">N221*L221</f>
        <v>5883.85</v>
      </c>
      <c r="Q221" s="17" t="n">
        <f aca="false">O221-P221</f>
        <v>1768.97</v>
      </c>
      <c r="R221" s="15" t="s">
        <v>63</v>
      </c>
      <c r="S221" s="15" t="s">
        <v>72</v>
      </c>
    </row>
    <row r="222" customFormat="false" ht="15" hidden="false" customHeight="true" outlineLevel="0" collapsed="false">
      <c r="A222" s="11" t="s">
        <v>358</v>
      </c>
      <c r="B222" s="12" t="n">
        <v>45466</v>
      </c>
      <c r="C222" s="11" t="s">
        <v>65</v>
      </c>
      <c r="D222" s="11" t="s">
        <v>66</v>
      </c>
      <c r="E222" s="11" t="s">
        <v>67</v>
      </c>
      <c r="F222" s="11" t="s">
        <v>118</v>
      </c>
      <c r="G222" s="11" t="s">
        <v>77</v>
      </c>
      <c r="H222" s="11" t="s">
        <v>53</v>
      </c>
      <c r="I222" s="11" t="s">
        <v>54</v>
      </c>
      <c r="J222" s="11" t="s">
        <v>55</v>
      </c>
      <c r="K222" s="13" t="n">
        <v>12.64</v>
      </c>
      <c r="L222" s="11" t="n">
        <v>173</v>
      </c>
      <c r="M222" s="14" t="n">
        <v>0</v>
      </c>
      <c r="N222" s="13" t="n">
        <v>7.78</v>
      </c>
      <c r="O222" s="13" t="n">
        <f aca="false">K222*L222*(1-M222)</f>
        <v>2186.72</v>
      </c>
      <c r="P222" s="13" t="n">
        <f aca="false">N222*L222</f>
        <v>1345.94</v>
      </c>
      <c r="Q222" s="13" t="n">
        <f aca="false">O222-P222</f>
        <v>840.78</v>
      </c>
      <c r="R222" s="11" t="s">
        <v>46</v>
      </c>
      <c r="S222" s="11" t="s">
        <v>72</v>
      </c>
    </row>
    <row r="223" customFormat="false" ht="15" hidden="false" customHeight="true" outlineLevel="0" collapsed="false">
      <c r="A223" s="15" t="s">
        <v>359</v>
      </c>
      <c r="B223" s="16" t="n">
        <v>45466</v>
      </c>
      <c r="C223" s="15" t="s">
        <v>49</v>
      </c>
      <c r="D223" s="15" t="s">
        <v>97</v>
      </c>
      <c r="E223" s="15" t="s">
        <v>112</v>
      </c>
      <c r="F223" s="15" t="s">
        <v>118</v>
      </c>
      <c r="G223" s="15" t="s">
        <v>126</v>
      </c>
      <c r="H223" s="15" t="s">
        <v>78</v>
      </c>
      <c r="I223" s="15" t="s">
        <v>154</v>
      </c>
      <c r="J223" s="15" t="s">
        <v>186</v>
      </c>
      <c r="K223" s="17" t="n">
        <v>1001.41</v>
      </c>
      <c r="L223" s="15" t="n">
        <v>11</v>
      </c>
      <c r="M223" s="18" t="n">
        <v>0.15</v>
      </c>
      <c r="N223" s="17" t="n">
        <v>828.89</v>
      </c>
      <c r="O223" s="17" t="n">
        <f aca="false">K223*L223*(1-M223)</f>
        <v>9363.1835</v>
      </c>
      <c r="P223" s="17" t="n">
        <f aca="false">N223*L223</f>
        <v>9117.79</v>
      </c>
      <c r="Q223" s="17" t="n">
        <f aca="false">O223-P223</f>
        <v>245.3935</v>
      </c>
      <c r="R223" s="15" t="s">
        <v>46</v>
      </c>
      <c r="S223" s="15" t="s">
        <v>47</v>
      </c>
    </row>
    <row r="224" customFormat="false" ht="15" hidden="false" customHeight="true" outlineLevel="0" collapsed="false">
      <c r="A224" s="11" t="s">
        <v>360</v>
      </c>
      <c r="B224" s="12" t="n">
        <v>45466</v>
      </c>
      <c r="C224" s="11" t="s">
        <v>49</v>
      </c>
      <c r="D224" s="11" t="s">
        <v>97</v>
      </c>
      <c r="E224" s="11" t="s">
        <v>108</v>
      </c>
      <c r="F224" s="11" t="s">
        <v>177</v>
      </c>
      <c r="G224" s="11" t="s">
        <v>77</v>
      </c>
      <c r="H224" s="11" t="s">
        <v>53</v>
      </c>
      <c r="I224" s="11" t="s">
        <v>69</v>
      </c>
      <c r="J224" s="11" t="s">
        <v>70</v>
      </c>
      <c r="K224" s="13" t="n">
        <v>24.49</v>
      </c>
      <c r="L224" s="11" t="n">
        <v>113</v>
      </c>
      <c r="M224" s="14" t="n">
        <v>0.05</v>
      </c>
      <c r="N224" s="13" t="n">
        <v>16.99</v>
      </c>
      <c r="O224" s="13" t="n">
        <f aca="false">K224*L224*(1-M224)</f>
        <v>2629.0015</v>
      </c>
      <c r="P224" s="13" t="n">
        <f aca="false">N224*L224</f>
        <v>1919.87</v>
      </c>
      <c r="Q224" s="13" t="n">
        <f aca="false">O224-P224</f>
        <v>709.1315</v>
      </c>
      <c r="R224" s="11" t="s">
        <v>63</v>
      </c>
      <c r="S224" s="11" t="s">
        <v>47</v>
      </c>
    </row>
    <row r="225" customFormat="false" ht="15" hidden="false" customHeight="true" outlineLevel="0" collapsed="false">
      <c r="A225" s="15" t="s">
        <v>361</v>
      </c>
      <c r="B225" s="16" t="n">
        <v>45467</v>
      </c>
      <c r="C225" s="15" t="s">
        <v>74</v>
      </c>
      <c r="D225" s="15" t="s">
        <v>75</v>
      </c>
      <c r="E225" s="15" t="s">
        <v>76</v>
      </c>
      <c r="F225" s="15" t="s">
        <v>51</v>
      </c>
      <c r="G225" s="15" t="s">
        <v>130</v>
      </c>
      <c r="H225" s="15" t="s">
        <v>78</v>
      </c>
      <c r="I225" s="15" t="s">
        <v>120</v>
      </c>
      <c r="J225" s="15" t="s">
        <v>121</v>
      </c>
      <c r="K225" s="17" t="n">
        <v>358.35</v>
      </c>
      <c r="L225" s="15" t="n">
        <v>52</v>
      </c>
      <c r="M225" s="18" t="n">
        <v>0.2</v>
      </c>
      <c r="N225" s="17" t="n">
        <v>288.07</v>
      </c>
      <c r="O225" s="17" t="n">
        <f aca="false">K225*L225*(1-M225)</f>
        <v>14907.36</v>
      </c>
      <c r="P225" s="17" t="n">
        <f aca="false">N225*L225</f>
        <v>14979.64</v>
      </c>
      <c r="Q225" s="17" t="n">
        <f aca="false">O225-P225</f>
        <v>-72.2799999999988</v>
      </c>
      <c r="R225" s="15" t="s">
        <v>46</v>
      </c>
      <c r="S225" s="15" t="s">
        <v>47</v>
      </c>
    </row>
    <row r="226" customFormat="false" ht="15" hidden="false" customHeight="true" outlineLevel="0" collapsed="false">
      <c r="A226" s="11" t="s">
        <v>362</v>
      </c>
      <c r="B226" s="12" t="n">
        <v>45468</v>
      </c>
      <c r="C226" s="11" t="s">
        <v>74</v>
      </c>
      <c r="D226" s="11" t="s">
        <v>171</v>
      </c>
      <c r="E226" s="11" t="s">
        <v>172</v>
      </c>
      <c r="F226" s="11" t="s">
        <v>68</v>
      </c>
      <c r="G226" s="11" t="s">
        <v>52</v>
      </c>
      <c r="H226" s="11" t="s">
        <v>53</v>
      </c>
      <c r="I226" s="11" t="s">
        <v>94</v>
      </c>
      <c r="J226" s="11" t="s">
        <v>131</v>
      </c>
      <c r="K226" s="13" t="n">
        <v>28.53</v>
      </c>
      <c r="L226" s="11" t="n">
        <v>68</v>
      </c>
      <c r="M226" s="14" t="n">
        <v>0</v>
      </c>
      <c r="N226" s="13" t="n">
        <v>16.99</v>
      </c>
      <c r="O226" s="13" t="n">
        <f aca="false">K226*L226*(1-M226)</f>
        <v>1940.04</v>
      </c>
      <c r="P226" s="13" t="n">
        <f aca="false">N226*L226</f>
        <v>1155.32</v>
      </c>
      <c r="Q226" s="13" t="n">
        <f aca="false">O226-P226</f>
        <v>784.72</v>
      </c>
      <c r="R226" s="11" t="s">
        <v>71</v>
      </c>
      <c r="S226" s="11" t="s">
        <v>47</v>
      </c>
    </row>
    <row r="227" customFormat="false" ht="15" hidden="false" customHeight="true" outlineLevel="0" collapsed="false">
      <c r="A227" s="15" t="s">
        <v>363</v>
      </c>
      <c r="B227" s="16" t="n">
        <v>45469</v>
      </c>
      <c r="C227" s="15" t="s">
        <v>65</v>
      </c>
      <c r="D227" s="15" t="s">
        <v>82</v>
      </c>
      <c r="E227" s="15" t="s">
        <v>83</v>
      </c>
      <c r="F227" s="15" t="s">
        <v>118</v>
      </c>
      <c r="G227" s="15" t="s">
        <v>52</v>
      </c>
      <c r="H227" s="15" t="s">
        <v>84</v>
      </c>
      <c r="I227" s="15" t="s">
        <v>85</v>
      </c>
      <c r="J227" s="15" t="s">
        <v>90</v>
      </c>
      <c r="K227" s="17" t="n">
        <v>610.29</v>
      </c>
      <c r="L227" s="15" t="n">
        <v>7</v>
      </c>
      <c r="M227" s="18" t="n">
        <v>0.1</v>
      </c>
      <c r="N227" s="17" t="n">
        <v>476.66</v>
      </c>
      <c r="O227" s="17" t="n">
        <f aca="false">K227*L227*(1-M227)</f>
        <v>3844.827</v>
      </c>
      <c r="P227" s="17" t="n">
        <f aca="false">N227*L227</f>
        <v>3336.62</v>
      </c>
      <c r="Q227" s="17" t="n">
        <f aca="false">O227-P227</f>
        <v>508.206999999999</v>
      </c>
      <c r="R227" s="15" t="s">
        <v>71</v>
      </c>
      <c r="S227" s="15" t="s">
        <v>47</v>
      </c>
    </row>
    <row r="228" customFormat="false" ht="15" hidden="false" customHeight="true" outlineLevel="0" collapsed="false">
      <c r="A228" s="11" t="s">
        <v>364</v>
      </c>
      <c r="B228" s="12" t="n">
        <v>45470</v>
      </c>
      <c r="C228" s="11" t="s">
        <v>49</v>
      </c>
      <c r="D228" s="11" t="s">
        <v>97</v>
      </c>
      <c r="E228" s="11" t="s">
        <v>112</v>
      </c>
      <c r="F228" s="11" t="s">
        <v>177</v>
      </c>
      <c r="G228" s="11" t="s">
        <v>77</v>
      </c>
      <c r="H228" s="11" t="s">
        <v>78</v>
      </c>
      <c r="I228" s="11" t="s">
        <v>154</v>
      </c>
      <c r="J228" s="11" t="s">
        <v>186</v>
      </c>
      <c r="K228" s="13" t="n">
        <v>1126.94</v>
      </c>
      <c r="L228" s="11" t="n">
        <v>17</v>
      </c>
      <c r="M228" s="14" t="n">
        <v>0</v>
      </c>
      <c r="N228" s="13" t="n">
        <v>959.89</v>
      </c>
      <c r="O228" s="13" t="n">
        <f aca="false">K228*L228*(1-M228)</f>
        <v>19157.98</v>
      </c>
      <c r="P228" s="13" t="n">
        <f aca="false">N228*L228</f>
        <v>16318.13</v>
      </c>
      <c r="Q228" s="13" t="n">
        <f aca="false">O228-P228</f>
        <v>2839.85</v>
      </c>
      <c r="R228" s="11" t="s">
        <v>114</v>
      </c>
      <c r="S228" s="11" t="s">
        <v>72</v>
      </c>
    </row>
    <row r="229" customFormat="false" ht="15" hidden="false" customHeight="true" outlineLevel="0" collapsed="false">
      <c r="A229" s="15" t="s">
        <v>365</v>
      </c>
      <c r="B229" s="16" t="n">
        <v>45471</v>
      </c>
      <c r="C229" s="15" t="s">
        <v>65</v>
      </c>
      <c r="D229" s="15" t="s">
        <v>66</v>
      </c>
      <c r="E229" s="15" t="s">
        <v>67</v>
      </c>
      <c r="F229" s="15" t="s">
        <v>99</v>
      </c>
      <c r="G229" s="15" t="s">
        <v>130</v>
      </c>
      <c r="H229" s="15" t="s">
        <v>43</v>
      </c>
      <c r="I229" s="15" t="s">
        <v>61</v>
      </c>
      <c r="J229" s="15" t="s">
        <v>62</v>
      </c>
      <c r="K229" s="17" t="n">
        <v>441.04</v>
      </c>
      <c r="L229" s="15" t="n">
        <v>27</v>
      </c>
      <c r="M229" s="18" t="n">
        <v>0</v>
      </c>
      <c r="N229" s="17" t="n">
        <v>158.88</v>
      </c>
      <c r="O229" s="17" t="n">
        <f aca="false">K229*L229*(1-M229)</f>
        <v>11908.08</v>
      </c>
      <c r="P229" s="17" t="n">
        <f aca="false">N229*L229</f>
        <v>4289.76</v>
      </c>
      <c r="Q229" s="17" t="n">
        <f aca="false">O229-P229</f>
        <v>7618.32</v>
      </c>
      <c r="R229" s="15" t="s">
        <v>114</v>
      </c>
      <c r="S229" s="15" t="s">
        <v>47</v>
      </c>
    </row>
    <row r="230" customFormat="false" ht="15" hidden="false" customHeight="true" outlineLevel="0" collapsed="false">
      <c r="A230" s="11" t="s">
        <v>366</v>
      </c>
      <c r="B230" s="12" t="n">
        <v>45471</v>
      </c>
      <c r="C230" s="11" t="s">
        <v>49</v>
      </c>
      <c r="D230" s="11" t="s">
        <v>97</v>
      </c>
      <c r="E230" s="11" t="s">
        <v>112</v>
      </c>
      <c r="F230" s="11" t="s">
        <v>118</v>
      </c>
      <c r="G230" s="11" t="s">
        <v>52</v>
      </c>
      <c r="H230" s="11" t="s">
        <v>53</v>
      </c>
      <c r="I230" s="11" t="s">
        <v>69</v>
      </c>
      <c r="J230" s="11" t="s">
        <v>70</v>
      </c>
      <c r="K230" s="13" t="n">
        <v>33.01</v>
      </c>
      <c r="L230" s="11" t="n">
        <v>59</v>
      </c>
      <c r="M230" s="14" t="n">
        <v>0.1</v>
      </c>
      <c r="N230" s="13" t="n">
        <v>21.82</v>
      </c>
      <c r="O230" s="13" t="n">
        <f aca="false">K230*L230*(1-M230)</f>
        <v>1752.831</v>
      </c>
      <c r="P230" s="13" t="n">
        <f aca="false">N230*L230</f>
        <v>1287.38</v>
      </c>
      <c r="Q230" s="13" t="n">
        <f aca="false">O230-P230</f>
        <v>465.451</v>
      </c>
      <c r="R230" s="11" t="s">
        <v>46</v>
      </c>
      <c r="S230" s="11" t="s">
        <v>72</v>
      </c>
    </row>
    <row r="231" customFormat="false" ht="15" hidden="false" customHeight="true" outlineLevel="0" collapsed="false">
      <c r="A231" s="15" t="s">
        <v>367</v>
      </c>
      <c r="B231" s="16" t="n">
        <v>45471</v>
      </c>
      <c r="C231" s="15" t="s">
        <v>57</v>
      </c>
      <c r="D231" s="15" t="s">
        <v>103</v>
      </c>
      <c r="E231" s="15" t="s">
        <v>104</v>
      </c>
      <c r="F231" s="15" t="s">
        <v>60</v>
      </c>
      <c r="G231" s="15" t="s">
        <v>130</v>
      </c>
      <c r="H231" s="15" t="s">
        <v>84</v>
      </c>
      <c r="I231" s="15" t="s">
        <v>85</v>
      </c>
      <c r="J231" s="15" t="s">
        <v>90</v>
      </c>
      <c r="K231" s="17" t="n">
        <v>571.12</v>
      </c>
      <c r="L231" s="15" t="n">
        <v>15</v>
      </c>
      <c r="M231" s="18" t="n">
        <v>0.15</v>
      </c>
      <c r="N231" s="17" t="n">
        <v>430.45</v>
      </c>
      <c r="O231" s="17" t="n">
        <f aca="false">K231*L231*(1-M231)</f>
        <v>7281.78</v>
      </c>
      <c r="P231" s="17" t="n">
        <f aca="false">N231*L231</f>
        <v>6456.75</v>
      </c>
      <c r="Q231" s="17" t="n">
        <f aca="false">O231-P231</f>
        <v>825.029999999999</v>
      </c>
      <c r="R231" s="15" t="s">
        <v>46</v>
      </c>
      <c r="S231" s="15" t="s">
        <v>47</v>
      </c>
    </row>
    <row r="232" customFormat="false" ht="15" hidden="false" customHeight="true" outlineLevel="0" collapsed="false">
      <c r="A232" s="11" t="s">
        <v>368</v>
      </c>
      <c r="B232" s="12" t="n">
        <v>45471</v>
      </c>
      <c r="C232" s="11" t="s">
        <v>38</v>
      </c>
      <c r="D232" s="11" t="s">
        <v>92</v>
      </c>
      <c r="E232" s="11" t="s">
        <v>93</v>
      </c>
      <c r="F232" s="11" t="s">
        <v>51</v>
      </c>
      <c r="G232" s="11" t="s">
        <v>126</v>
      </c>
      <c r="H232" s="11" t="s">
        <v>43</v>
      </c>
      <c r="I232" s="11" t="s">
        <v>61</v>
      </c>
      <c r="J232" s="11" t="s">
        <v>147</v>
      </c>
      <c r="K232" s="13" t="n">
        <v>412.16</v>
      </c>
      <c r="L232" s="11" t="n">
        <v>39</v>
      </c>
      <c r="M232" s="14" t="n">
        <v>0.15</v>
      </c>
      <c r="N232" s="13" t="n">
        <v>133.81</v>
      </c>
      <c r="O232" s="13" t="n">
        <f aca="false">K232*L232*(1-M232)</f>
        <v>13663.104</v>
      </c>
      <c r="P232" s="13" t="n">
        <f aca="false">N232*L232</f>
        <v>5218.59</v>
      </c>
      <c r="Q232" s="13" t="n">
        <f aca="false">O232-P232</f>
        <v>8444.514</v>
      </c>
      <c r="R232" s="11" t="s">
        <v>63</v>
      </c>
      <c r="S232" s="11" t="s">
        <v>124</v>
      </c>
    </row>
    <row r="233" customFormat="false" ht="15" hidden="false" customHeight="true" outlineLevel="0" collapsed="false">
      <c r="A233" s="15" t="s">
        <v>369</v>
      </c>
      <c r="B233" s="16" t="n">
        <v>45472</v>
      </c>
      <c r="C233" s="15" t="s">
        <v>49</v>
      </c>
      <c r="D233" s="15" t="s">
        <v>97</v>
      </c>
      <c r="E233" s="15" t="s">
        <v>108</v>
      </c>
      <c r="F233" s="15" t="s">
        <v>123</v>
      </c>
      <c r="G233" s="15" t="s">
        <v>77</v>
      </c>
      <c r="H233" s="15" t="s">
        <v>84</v>
      </c>
      <c r="I233" s="15" t="s">
        <v>100</v>
      </c>
      <c r="J233" s="15" t="s">
        <v>139</v>
      </c>
      <c r="K233" s="17" t="n">
        <v>1028.72</v>
      </c>
      <c r="L233" s="15" t="n">
        <v>22</v>
      </c>
      <c r="M233" s="18" t="n">
        <v>0</v>
      </c>
      <c r="N233" s="17" t="n">
        <v>770.61</v>
      </c>
      <c r="O233" s="17" t="n">
        <f aca="false">K233*L233*(1-M233)</f>
        <v>22631.84</v>
      </c>
      <c r="P233" s="17" t="n">
        <f aca="false">N233*L233</f>
        <v>16953.42</v>
      </c>
      <c r="Q233" s="17" t="n">
        <f aca="false">O233-P233</f>
        <v>5678.42</v>
      </c>
      <c r="R233" s="15" t="s">
        <v>63</v>
      </c>
      <c r="S233" s="15" t="s">
        <v>72</v>
      </c>
    </row>
    <row r="234" customFormat="false" ht="15" hidden="false" customHeight="true" outlineLevel="0" collapsed="false">
      <c r="A234" s="11" t="s">
        <v>370</v>
      </c>
      <c r="B234" s="12" t="n">
        <v>45473</v>
      </c>
      <c r="C234" s="11" t="s">
        <v>74</v>
      </c>
      <c r="D234" s="11" t="s">
        <v>75</v>
      </c>
      <c r="E234" s="11" t="s">
        <v>76</v>
      </c>
      <c r="F234" s="11" t="s">
        <v>118</v>
      </c>
      <c r="G234" s="11" t="s">
        <v>52</v>
      </c>
      <c r="H234" s="11" t="s">
        <v>53</v>
      </c>
      <c r="I234" s="11" t="s">
        <v>54</v>
      </c>
      <c r="J234" s="11" t="s">
        <v>55</v>
      </c>
      <c r="K234" s="13" t="n">
        <v>20.79</v>
      </c>
      <c r="L234" s="11" t="n">
        <v>36</v>
      </c>
      <c r="M234" s="14" t="n">
        <v>0.15</v>
      </c>
      <c r="N234" s="13" t="n">
        <v>12.47</v>
      </c>
      <c r="O234" s="13" t="n">
        <f aca="false">K234*L234*(1-M234)</f>
        <v>636.174</v>
      </c>
      <c r="P234" s="13" t="n">
        <f aca="false">N234*L234</f>
        <v>448.92</v>
      </c>
      <c r="Q234" s="13" t="n">
        <f aca="false">O234-P234</f>
        <v>187.254</v>
      </c>
      <c r="R234" s="11" t="s">
        <v>114</v>
      </c>
      <c r="S234" s="11" t="s">
        <v>47</v>
      </c>
    </row>
    <row r="235" customFormat="false" ht="15" hidden="false" customHeight="true" outlineLevel="0" collapsed="false">
      <c r="A235" s="15" t="s">
        <v>371</v>
      </c>
      <c r="B235" s="16" t="n">
        <v>45474</v>
      </c>
      <c r="C235" s="15" t="s">
        <v>38</v>
      </c>
      <c r="D235" s="15" t="s">
        <v>92</v>
      </c>
      <c r="E235" s="15" t="s">
        <v>93</v>
      </c>
      <c r="F235" s="15" t="s">
        <v>68</v>
      </c>
      <c r="G235" s="15" t="s">
        <v>126</v>
      </c>
      <c r="H235" s="15" t="s">
        <v>53</v>
      </c>
      <c r="I235" s="15" t="s">
        <v>54</v>
      </c>
      <c r="J235" s="15" t="s">
        <v>113</v>
      </c>
      <c r="K235" s="17" t="n">
        <v>23.48</v>
      </c>
      <c r="L235" s="15" t="n">
        <v>144</v>
      </c>
      <c r="M235" s="18" t="n">
        <v>0</v>
      </c>
      <c r="N235" s="17" t="n">
        <v>16.4</v>
      </c>
      <c r="O235" s="17" t="n">
        <f aca="false">K235*L235*(1-M235)</f>
        <v>3381.12</v>
      </c>
      <c r="P235" s="17" t="n">
        <f aca="false">N235*L235</f>
        <v>2361.6</v>
      </c>
      <c r="Q235" s="17" t="n">
        <f aca="false">O235-P235</f>
        <v>1019.52</v>
      </c>
      <c r="R235" s="15" t="s">
        <v>114</v>
      </c>
      <c r="S235" s="15" t="s">
        <v>47</v>
      </c>
    </row>
    <row r="236" customFormat="false" ht="15" hidden="false" customHeight="true" outlineLevel="0" collapsed="false">
      <c r="A236" s="11" t="s">
        <v>372</v>
      </c>
      <c r="B236" s="12" t="n">
        <v>45475</v>
      </c>
      <c r="C236" s="11" t="s">
        <v>49</v>
      </c>
      <c r="D236" s="11" t="s">
        <v>97</v>
      </c>
      <c r="E236" s="11" t="s">
        <v>108</v>
      </c>
      <c r="F236" s="11" t="s">
        <v>123</v>
      </c>
      <c r="G236" s="11" t="s">
        <v>130</v>
      </c>
      <c r="H236" s="11" t="s">
        <v>78</v>
      </c>
      <c r="I236" s="11" t="s">
        <v>79</v>
      </c>
      <c r="J236" s="11" t="s">
        <v>80</v>
      </c>
      <c r="K236" s="13" t="n">
        <v>4097.25</v>
      </c>
      <c r="L236" s="11" t="n">
        <v>2</v>
      </c>
      <c r="M236" s="14" t="n">
        <v>0</v>
      </c>
      <c r="N236" s="13" t="n">
        <v>3395.88</v>
      </c>
      <c r="O236" s="13" t="n">
        <f aca="false">K236*L236*(1-M236)</f>
        <v>8194.5</v>
      </c>
      <c r="P236" s="13" t="n">
        <f aca="false">N236*L236</f>
        <v>6791.76</v>
      </c>
      <c r="Q236" s="13" t="n">
        <f aca="false">O236-P236</f>
        <v>1402.74</v>
      </c>
      <c r="R236" s="11" t="s">
        <v>63</v>
      </c>
      <c r="S236" s="11" t="s">
        <v>47</v>
      </c>
    </row>
    <row r="237" customFormat="false" ht="15" hidden="false" customHeight="true" outlineLevel="0" collapsed="false">
      <c r="A237" s="15" t="s">
        <v>373</v>
      </c>
      <c r="B237" s="16" t="n">
        <v>45475</v>
      </c>
      <c r="C237" s="15" t="s">
        <v>49</v>
      </c>
      <c r="D237" s="15" t="s">
        <v>97</v>
      </c>
      <c r="E237" s="15" t="s">
        <v>108</v>
      </c>
      <c r="F237" s="15" t="s">
        <v>41</v>
      </c>
      <c r="G237" s="15" t="s">
        <v>77</v>
      </c>
      <c r="H237" s="15" t="s">
        <v>78</v>
      </c>
      <c r="I237" s="15" t="s">
        <v>79</v>
      </c>
      <c r="J237" s="15" t="s">
        <v>216</v>
      </c>
      <c r="K237" s="17" t="n">
        <v>4284.06</v>
      </c>
      <c r="L237" s="15" t="n">
        <v>2</v>
      </c>
      <c r="M237" s="18" t="n">
        <v>0</v>
      </c>
      <c r="N237" s="17" t="n">
        <v>3587.88</v>
      </c>
      <c r="O237" s="17" t="n">
        <f aca="false">K237*L237*(1-M237)</f>
        <v>8568.12</v>
      </c>
      <c r="P237" s="17" t="n">
        <f aca="false">N237*L237</f>
        <v>7175.76</v>
      </c>
      <c r="Q237" s="17" t="n">
        <f aca="false">O237-P237</f>
        <v>1392.36</v>
      </c>
      <c r="R237" s="15" t="s">
        <v>46</v>
      </c>
      <c r="S237" s="15" t="s">
        <v>47</v>
      </c>
    </row>
    <row r="238" customFormat="false" ht="15" hidden="false" customHeight="true" outlineLevel="0" collapsed="false">
      <c r="A238" s="11" t="s">
        <v>374</v>
      </c>
      <c r="B238" s="12" t="n">
        <v>45475</v>
      </c>
      <c r="C238" s="11" t="s">
        <v>38</v>
      </c>
      <c r="D238" s="11" t="s">
        <v>88</v>
      </c>
      <c r="E238" s="11" t="s">
        <v>89</v>
      </c>
      <c r="F238" s="11" t="s">
        <v>123</v>
      </c>
      <c r="G238" s="11" t="s">
        <v>77</v>
      </c>
      <c r="H238" s="11" t="s">
        <v>78</v>
      </c>
      <c r="I238" s="11" t="s">
        <v>143</v>
      </c>
      <c r="J238" s="11" t="s">
        <v>158</v>
      </c>
      <c r="K238" s="13" t="n">
        <v>879.68</v>
      </c>
      <c r="L238" s="11" t="n">
        <v>11</v>
      </c>
      <c r="M238" s="14" t="n">
        <v>0.15</v>
      </c>
      <c r="N238" s="13" t="n">
        <v>740.08</v>
      </c>
      <c r="O238" s="13" t="n">
        <f aca="false">K238*L238*(1-M238)</f>
        <v>8225.008</v>
      </c>
      <c r="P238" s="13" t="n">
        <f aca="false">N238*L238</f>
        <v>8140.88</v>
      </c>
      <c r="Q238" s="13" t="n">
        <f aca="false">O238-P238</f>
        <v>84.1279999999997</v>
      </c>
      <c r="R238" s="11" t="s">
        <v>63</v>
      </c>
      <c r="S238" s="11" t="s">
        <v>47</v>
      </c>
    </row>
    <row r="239" customFormat="false" ht="15" hidden="false" customHeight="true" outlineLevel="0" collapsed="false">
      <c r="A239" s="15" t="s">
        <v>375</v>
      </c>
      <c r="B239" s="16" t="n">
        <v>45475</v>
      </c>
      <c r="C239" s="15" t="s">
        <v>49</v>
      </c>
      <c r="D239" s="15" t="s">
        <v>97</v>
      </c>
      <c r="E239" s="15" t="s">
        <v>112</v>
      </c>
      <c r="F239" s="15" t="s">
        <v>41</v>
      </c>
      <c r="G239" s="15" t="s">
        <v>42</v>
      </c>
      <c r="H239" s="15" t="s">
        <v>84</v>
      </c>
      <c r="I239" s="15" t="s">
        <v>136</v>
      </c>
      <c r="J239" s="15" t="s">
        <v>247</v>
      </c>
      <c r="K239" s="17" t="n">
        <v>442.99</v>
      </c>
      <c r="L239" s="15" t="n">
        <v>24</v>
      </c>
      <c r="M239" s="18" t="n">
        <v>0.15</v>
      </c>
      <c r="N239" s="17" t="n">
        <v>328</v>
      </c>
      <c r="O239" s="17" t="n">
        <f aca="false">K239*L239*(1-M239)</f>
        <v>9036.996</v>
      </c>
      <c r="P239" s="17" t="n">
        <f aca="false">N239*L239</f>
        <v>7872</v>
      </c>
      <c r="Q239" s="17" t="n">
        <f aca="false">O239-P239</f>
        <v>1164.996</v>
      </c>
      <c r="R239" s="15" t="s">
        <v>63</v>
      </c>
      <c r="S239" s="15" t="s">
        <v>72</v>
      </c>
    </row>
    <row r="240" customFormat="false" ht="15" hidden="false" customHeight="true" outlineLevel="0" collapsed="false">
      <c r="A240" s="11" t="s">
        <v>376</v>
      </c>
      <c r="B240" s="12" t="n">
        <v>45476</v>
      </c>
      <c r="C240" s="11" t="s">
        <v>38</v>
      </c>
      <c r="D240" s="11" t="s">
        <v>92</v>
      </c>
      <c r="E240" s="11" t="s">
        <v>93</v>
      </c>
      <c r="F240" s="11" t="s">
        <v>60</v>
      </c>
      <c r="G240" s="11" t="s">
        <v>52</v>
      </c>
      <c r="H240" s="11" t="s">
        <v>53</v>
      </c>
      <c r="I240" s="11" t="s">
        <v>69</v>
      </c>
      <c r="J240" s="11" t="s">
        <v>128</v>
      </c>
      <c r="K240" s="13" t="n">
        <v>13.86</v>
      </c>
      <c r="L240" s="11" t="n">
        <v>177</v>
      </c>
      <c r="M240" s="14" t="n">
        <v>0</v>
      </c>
      <c r="N240" s="13" t="n">
        <v>9.73</v>
      </c>
      <c r="O240" s="13" t="n">
        <f aca="false">K240*L240*(1-M240)</f>
        <v>2453.22</v>
      </c>
      <c r="P240" s="13" t="n">
        <f aca="false">N240*L240</f>
        <v>1722.21</v>
      </c>
      <c r="Q240" s="13" t="n">
        <f aca="false">O240-P240</f>
        <v>731.01</v>
      </c>
      <c r="R240" s="11" t="s">
        <v>167</v>
      </c>
      <c r="S240" s="11" t="s">
        <v>47</v>
      </c>
    </row>
    <row r="241" customFormat="false" ht="15" hidden="false" customHeight="true" outlineLevel="0" collapsed="false">
      <c r="A241" s="15" t="s">
        <v>377</v>
      </c>
      <c r="B241" s="16" t="n">
        <v>45479</v>
      </c>
      <c r="C241" s="15" t="s">
        <v>57</v>
      </c>
      <c r="D241" s="15" t="s">
        <v>58</v>
      </c>
      <c r="E241" s="15" t="s">
        <v>59</v>
      </c>
      <c r="F241" s="15" t="s">
        <v>68</v>
      </c>
      <c r="G241" s="15" t="s">
        <v>52</v>
      </c>
      <c r="H241" s="15" t="s">
        <v>53</v>
      </c>
      <c r="I241" s="15" t="s">
        <v>94</v>
      </c>
      <c r="J241" s="15" t="s">
        <v>131</v>
      </c>
      <c r="K241" s="17" t="n">
        <v>37.46</v>
      </c>
      <c r="L241" s="15" t="n">
        <v>59</v>
      </c>
      <c r="M241" s="18" t="n">
        <v>0.05</v>
      </c>
      <c r="N241" s="17" t="n">
        <v>26.01</v>
      </c>
      <c r="O241" s="17" t="n">
        <f aca="false">K241*L241*(1-M241)</f>
        <v>2099.633</v>
      </c>
      <c r="P241" s="17" t="n">
        <f aca="false">N241*L241</f>
        <v>1534.59</v>
      </c>
      <c r="Q241" s="17" t="n">
        <f aca="false">O241-P241</f>
        <v>565.043</v>
      </c>
      <c r="R241" s="15" t="s">
        <v>63</v>
      </c>
      <c r="S241" s="15" t="s">
        <v>187</v>
      </c>
    </row>
    <row r="242" customFormat="false" ht="15" hidden="false" customHeight="true" outlineLevel="0" collapsed="false">
      <c r="A242" s="11" t="s">
        <v>378</v>
      </c>
      <c r="B242" s="12" t="n">
        <v>45479</v>
      </c>
      <c r="C242" s="11" t="s">
        <v>65</v>
      </c>
      <c r="D242" s="11" t="s">
        <v>149</v>
      </c>
      <c r="E242" s="11" t="s">
        <v>150</v>
      </c>
      <c r="F242" s="11" t="s">
        <v>51</v>
      </c>
      <c r="G242" s="11" t="s">
        <v>130</v>
      </c>
      <c r="H242" s="11" t="s">
        <v>53</v>
      </c>
      <c r="I242" s="11" t="s">
        <v>94</v>
      </c>
      <c r="J242" s="11" t="s">
        <v>131</v>
      </c>
      <c r="K242" s="13" t="n">
        <v>34.52</v>
      </c>
      <c r="L242" s="11" t="n">
        <v>61</v>
      </c>
      <c r="M242" s="14" t="n">
        <v>0</v>
      </c>
      <c r="N242" s="13" t="n">
        <v>22.73</v>
      </c>
      <c r="O242" s="13" t="n">
        <f aca="false">K242*L242*(1-M242)</f>
        <v>2105.72</v>
      </c>
      <c r="P242" s="13" t="n">
        <f aca="false">N242*L242</f>
        <v>1386.53</v>
      </c>
      <c r="Q242" s="13" t="n">
        <f aca="false">O242-P242</f>
        <v>719.19</v>
      </c>
      <c r="R242" s="11" t="s">
        <v>46</v>
      </c>
      <c r="S242" s="11" t="s">
        <v>47</v>
      </c>
    </row>
    <row r="243" customFormat="false" ht="15" hidden="false" customHeight="true" outlineLevel="0" collapsed="false">
      <c r="A243" s="15" t="s">
        <v>379</v>
      </c>
      <c r="B243" s="16" t="n">
        <v>45480</v>
      </c>
      <c r="C243" s="15" t="s">
        <v>38</v>
      </c>
      <c r="D243" s="15" t="s">
        <v>39</v>
      </c>
      <c r="E243" s="15" t="s">
        <v>40</v>
      </c>
      <c r="F243" s="15" t="s">
        <v>109</v>
      </c>
      <c r="G243" s="15" t="s">
        <v>42</v>
      </c>
      <c r="H243" s="15" t="s">
        <v>53</v>
      </c>
      <c r="I243" s="15" t="s">
        <v>94</v>
      </c>
      <c r="J243" s="15" t="s">
        <v>95</v>
      </c>
      <c r="K243" s="17" t="n">
        <v>39.2</v>
      </c>
      <c r="L243" s="15" t="n">
        <v>89</v>
      </c>
      <c r="M243" s="18" t="n">
        <v>0</v>
      </c>
      <c r="N243" s="17" t="n">
        <v>23.68</v>
      </c>
      <c r="O243" s="17" t="n">
        <f aca="false">K243*L243*(1-M243)</f>
        <v>3488.8</v>
      </c>
      <c r="P243" s="17" t="n">
        <f aca="false">N243*L243</f>
        <v>2107.52</v>
      </c>
      <c r="Q243" s="17" t="n">
        <f aca="false">O243-P243</f>
        <v>1381.28</v>
      </c>
      <c r="R243" s="15" t="s">
        <v>46</v>
      </c>
      <c r="S243" s="15" t="s">
        <v>47</v>
      </c>
    </row>
    <row r="244" customFormat="false" ht="15" hidden="false" customHeight="true" outlineLevel="0" collapsed="false">
      <c r="A244" s="11" t="s">
        <v>380</v>
      </c>
      <c r="B244" s="12" t="n">
        <v>45483</v>
      </c>
      <c r="C244" s="11" t="s">
        <v>38</v>
      </c>
      <c r="D244" s="11" t="s">
        <v>92</v>
      </c>
      <c r="E244" s="11" t="s">
        <v>93</v>
      </c>
      <c r="F244" s="11" t="s">
        <v>135</v>
      </c>
      <c r="G244" s="11" t="s">
        <v>77</v>
      </c>
      <c r="H244" s="11" t="s">
        <v>53</v>
      </c>
      <c r="I244" s="11" t="s">
        <v>94</v>
      </c>
      <c r="J244" s="11" t="s">
        <v>95</v>
      </c>
      <c r="K244" s="13" t="n">
        <v>34.83</v>
      </c>
      <c r="L244" s="11" t="n">
        <v>69</v>
      </c>
      <c r="M244" s="14" t="n">
        <v>0.05</v>
      </c>
      <c r="N244" s="13" t="n">
        <v>20.14</v>
      </c>
      <c r="O244" s="13" t="n">
        <f aca="false">K244*L244*(1-M244)</f>
        <v>2283.1065</v>
      </c>
      <c r="P244" s="13" t="n">
        <f aca="false">N244*L244</f>
        <v>1389.66</v>
      </c>
      <c r="Q244" s="13" t="n">
        <f aca="false">O244-P244</f>
        <v>893.4465</v>
      </c>
      <c r="R244" s="11" t="s">
        <v>167</v>
      </c>
      <c r="S244" s="11" t="s">
        <v>47</v>
      </c>
    </row>
    <row r="245" customFormat="false" ht="15" hidden="false" customHeight="true" outlineLevel="0" collapsed="false">
      <c r="A245" s="15" t="s">
        <v>381</v>
      </c>
      <c r="B245" s="16" t="n">
        <v>45484</v>
      </c>
      <c r="C245" s="15" t="s">
        <v>57</v>
      </c>
      <c r="D245" s="15" t="s">
        <v>58</v>
      </c>
      <c r="E245" s="15" t="s">
        <v>59</v>
      </c>
      <c r="F245" s="15" t="s">
        <v>109</v>
      </c>
      <c r="G245" s="15" t="s">
        <v>52</v>
      </c>
      <c r="H245" s="15" t="s">
        <v>43</v>
      </c>
      <c r="I245" s="15" t="s">
        <v>44</v>
      </c>
      <c r="J245" s="15" t="s">
        <v>106</v>
      </c>
      <c r="K245" s="17" t="n">
        <v>243.71</v>
      </c>
      <c r="L245" s="15" t="n">
        <v>42</v>
      </c>
      <c r="M245" s="18" t="n">
        <v>0</v>
      </c>
      <c r="N245" s="17" t="n">
        <v>98.12</v>
      </c>
      <c r="O245" s="17" t="n">
        <f aca="false">K245*L245*(1-M245)</f>
        <v>10235.82</v>
      </c>
      <c r="P245" s="17" t="n">
        <f aca="false">N245*L245</f>
        <v>4121.04</v>
      </c>
      <c r="Q245" s="17" t="n">
        <f aca="false">O245-P245</f>
        <v>6114.78</v>
      </c>
      <c r="R245" s="15" t="s">
        <v>63</v>
      </c>
      <c r="S245" s="15" t="s">
        <v>47</v>
      </c>
    </row>
    <row r="246" customFormat="false" ht="15" hidden="false" customHeight="true" outlineLevel="0" collapsed="false">
      <c r="A246" s="11" t="s">
        <v>382</v>
      </c>
      <c r="B246" s="12" t="n">
        <v>45484</v>
      </c>
      <c r="C246" s="11" t="s">
        <v>49</v>
      </c>
      <c r="D246" s="11" t="s">
        <v>97</v>
      </c>
      <c r="E246" s="11" t="s">
        <v>112</v>
      </c>
      <c r="F246" s="11" t="s">
        <v>51</v>
      </c>
      <c r="G246" s="11" t="s">
        <v>42</v>
      </c>
      <c r="H246" s="11" t="s">
        <v>43</v>
      </c>
      <c r="I246" s="11" t="s">
        <v>61</v>
      </c>
      <c r="J246" s="11" t="s">
        <v>62</v>
      </c>
      <c r="K246" s="13" t="n">
        <v>391.73</v>
      </c>
      <c r="L246" s="11" t="n">
        <v>19</v>
      </c>
      <c r="M246" s="14" t="n">
        <v>0</v>
      </c>
      <c r="N246" s="13" t="n">
        <v>133.25</v>
      </c>
      <c r="O246" s="13" t="n">
        <f aca="false">K246*L246*(1-M246)</f>
        <v>7442.87</v>
      </c>
      <c r="P246" s="13" t="n">
        <f aca="false">N246*L246</f>
        <v>2531.75</v>
      </c>
      <c r="Q246" s="13" t="n">
        <f aca="false">O246-P246</f>
        <v>4911.12</v>
      </c>
      <c r="R246" s="11" t="s">
        <v>46</v>
      </c>
      <c r="S246" s="11" t="s">
        <v>47</v>
      </c>
    </row>
    <row r="247" customFormat="false" ht="15" hidden="false" customHeight="true" outlineLevel="0" collapsed="false">
      <c r="A247" s="15" t="s">
        <v>383</v>
      </c>
      <c r="B247" s="16" t="n">
        <v>45485</v>
      </c>
      <c r="C247" s="15" t="s">
        <v>49</v>
      </c>
      <c r="D247" s="15" t="s">
        <v>97</v>
      </c>
      <c r="E247" s="15" t="s">
        <v>108</v>
      </c>
      <c r="F247" s="15" t="s">
        <v>60</v>
      </c>
      <c r="G247" s="15" t="s">
        <v>52</v>
      </c>
      <c r="H247" s="15" t="s">
        <v>84</v>
      </c>
      <c r="I247" s="15" t="s">
        <v>100</v>
      </c>
      <c r="J247" s="15" t="s">
        <v>101</v>
      </c>
      <c r="K247" s="17" t="n">
        <v>2393.19</v>
      </c>
      <c r="L247" s="15" t="n">
        <v>15</v>
      </c>
      <c r="M247" s="18" t="n">
        <v>0.05</v>
      </c>
      <c r="N247" s="17" t="n">
        <v>1866.06</v>
      </c>
      <c r="O247" s="17" t="n">
        <f aca="false">K247*L247*(1-M247)</f>
        <v>34102.9575</v>
      </c>
      <c r="P247" s="17" t="n">
        <f aca="false">N247*L247</f>
        <v>27990.9</v>
      </c>
      <c r="Q247" s="17" t="n">
        <f aca="false">O247-P247</f>
        <v>6112.0575</v>
      </c>
      <c r="R247" s="15" t="s">
        <v>71</v>
      </c>
      <c r="S247" s="15" t="s">
        <v>47</v>
      </c>
    </row>
    <row r="248" customFormat="false" ht="15" hidden="false" customHeight="true" outlineLevel="0" collapsed="false">
      <c r="A248" s="11" t="s">
        <v>384</v>
      </c>
      <c r="B248" s="12" t="n">
        <v>45485</v>
      </c>
      <c r="C248" s="11" t="s">
        <v>74</v>
      </c>
      <c r="D248" s="11" t="s">
        <v>171</v>
      </c>
      <c r="E248" s="11" t="s">
        <v>172</v>
      </c>
      <c r="F248" s="11" t="s">
        <v>41</v>
      </c>
      <c r="G248" s="11" t="s">
        <v>52</v>
      </c>
      <c r="H248" s="11" t="s">
        <v>78</v>
      </c>
      <c r="I248" s="11" t="s">
        <v>143</v>
      </c>
      <c r="J248" s="11" t="s">
        <v>144</v>
      </c>
      <c r="K248" s="13" t="n">
        <v>1581.16</v>
      </c>
      <c r="L248" s="11" t="n">
        <v>7</v>
      </c>
      <c r="M248" s="14" t="n">
        <v>0</v>
      </c>
      <c r="N248" s="13" t="n">
        <v>1242.42</v>
      </c>
      <c r="O248" s="13" t="n">
        <f aca="false">K248*L248*(1-M248)</f>
        <v>11068.12</v>
      </c>
      <c r="P248" s="13" t="n">
        <f aca="false">N248*L248</f>
        <v>8696.94</v>
      </c>
      <c r="Q248" s="13" t="n">
        <f aca="false">O248-P248</f>
        <v>2371.18</v>
      </c>
      <c r="R248" s="11" t="s">
        <v>46</v>
      </c>
      <c r="S248" s="11" t="s">
        <v>187</v>
      </c>
    </row>
    <row r="249" customFormat="false" ht="15" hidden="false" customHeight="true" outlineLevel="0" collapsed="false">
      <c r="A249" s="15" t="s">
        <v>385</v>
      </c>
      <c r="B249" s="16" t="n">
        <v>45486</v>
      </c>
      <c r="C249" s="15" t="s">
        <v>49</v>
      </c>
      <c r="D249" s="15" t="s">
        <v>152</v>
      </c>
      <c r="E249" s="15" t="s">
        <v>152</v>
      </c>
      <c r="F249" s="15" t="s">
        <v>123</v>
      </c>
      <c r="G249" s="15" t="s">
        <v>130</v>
      </c>
      <c r="H249" s="15" t="s">
        <v>78</v>
      </c>
      <c r="I249" s="15" t="s">
        <v>143</v>
      </c>
      <c r="J249" s="15" t="s">
        <v>144</v>
      </c>
      <c r="K249" s="17" t="n">
        <v>1771.79</v>
      </c>
      <c r="L249" s="15" t="n">
        <v>9</v>
      </c>
      <c r="M249" s="18" t="n">
        <v>0</v>
      </c>
      <c r="N249" s="17" t="n">
        <v>1451.32</v>
      </c>
      <c r="O249" s="17" t="n">
        <f aca="false">K249*L249*(1-M249)</f>
        <v>15946.11</v>
      </c>
      <c r="P249" s="17" t="n">
        <f aca="false">N249*L249</f>
        <v>13061.88</v>
      </c>
      <c r="Q249" s="17" t="n">
        <f aca="false">O249-P249</f>
        <v>2884.23</v>
      </c>
      <c r="R249" s="15" t="s">
        <v>63</v>
      </c>
      <c r="S249" s="15" t="s">
        <v>47</v>
      </c>
    </row>
    <row r="250" customFormat="false" ht="15" hidden="false" customHeight="true" outlineLevel="0" collapsed="false">
      <c r="A250" s="11" t="s">
        <v>386</v>
      </c>
      <c r="B250" s="12" t="n">
        <v>45487</v>
      </c>
      <c r="C250" s="11" t="s">
        <v>49</v>
      </c>
      <c r="D250" s="11" t="s">
        <v>152</v>
      </c>
      <c r="E250" s="11" t="s">
        <v>152</v>
      </c>
      <c r="F250" s="11" t="s">
        <v>99</v>
      </c>
      <c r="G250" s="11" t="s">
        <v>130</v>
      </c>
      <c r="H250" s="11" t="s">
        <v>43</v>
      </c>
      <c r="I250" s="11" t="s">
        <v>44</v>
      </c>
      <c r="J250" s="11" t="s">
        <v>45</v>
      </c>
      <c r="K250" s="13" t="n">
        <v>211.48</v>
      </c>
      <c r="L250" s="11" t="n">
        <v>77</v>
      </c>
      <c r="M250" s="14" t="n">
        <v>0.2</v>
      </c>
      <c r="N250" s="13" t="n">
        <v>57.71</v>
      </c>
      <c r="O250" s="13" t="n">
        <f aca="false">K250*L250*(1-M250)</f>
        <v>13027.168</v>
      </c>
      <c r="P250" s="13" t="n">
        <f aca="false">N250*L250</f>
        <v>4443.67</v>
      </c>
      <c r="Q250" s="13" t="n">
        <f aca="false">O250-P250</f>
        <v>8583.498</v>
      </c>
      <c r="R250" s="11" t="s">
        <v>63</v>
      </c>
      <c r="S250" s="11" t="s">
        <v>47</v>
      </c>
    </row>
    <row r="251" customFormat="false" ht="15" hidden="false" customHeight="true" outlineLevel="0" collapsed="false">
      <c r="A251" s="15" t="s">
        <v>387</v>
      </c>
      <c r="B251" s="16" t="n">
        <v>45487</v>
      </c>
      <c r="C251" s="15" t="s">
        <v>38</v>
      </c>
      <c r="D251" s="15" t="s">
        <v>39</v>
      </c>
      <c r="E251" s="15" t="s">
        <v>40</v>
      </c>
      <c r="F251" s="15" t="s">
        <v>60</v>
      </c>
      <c r="G251" s="15" t="s">
        <v>42</v>
      </c>
      <c r="H251" s="15" t="s">
        <v>78</v>
      </c>
      <c r="I251" s="15" t="s">
        <v>143</v>
      </c>
      <c r="J251" s="15" t="s">
        <v>144</v>
      </c>
      <c r="K251" s="17" t="n">
        <v>1774.71</v>
      </c>
      <c r="L251" s="15" t="n">
        <v>16</v>
      </c>
      <c r="M251" s="18" t="n">
        <v>0</v>
      </c>
      <c r="N251" s="17" t="n">
        <v>1448.09</v>
      </c>
      <c r="O251" s="17" t="n">
        <f aca="false">K251*L251*(1-M251)</f>
        <v>28395.36</v>
      </c>
      <c r="P251" s="17" t="n">
        <f aca="false">N251*L251</f>
        <v>23169.44</v>
      </c>
      <c r="Q251" s="17" t="n">
        <f aca="false">O251-P251</f>
        <v>5225.92</v>
      </c>
      <c r="R251" s="15" t="s">
        <v>46</v>
      </c>
      <c r="S251" s="15" t="s">
        <v>47</v>
      </c>
    </row>
    <row r="252" customFormat="false" ht="15" hidden="false" customHeight="true" outlineLevel="0" collapsed="false">
      <c r="A252" s="11" t="s">
        <v>388</v>
      </c>
      <c r="B252" s="12" t="n">
        <v>45487</v>
      </c>
      <c r="C252" s="11" t="s">
        <v>38</v>
      </c>
      <c r="D252" s="11" t="s">
        <v>92</v>
      </c>
      <c r="E252" s="11" t="s">
        <v>93</v>
      </c>
      <c r="F252" s="11" t="s">
        <v>41</v>
      </c>
      <c r="G252" s="11" t="s">
        <v>42</v>
      </c>
      <c r="H252" s="11" t="s">
        <v>43</v>
      </c>
      <c r="I252" s="11" t="s">
        <v>44</v>
      </c>
      <c r="J252" s="11" t="s">
        <v>45</v>
      </c>
      <c r="K252" s="13" t="n">
        <v>134.61</v>
      </c>
      <c r="L252" s="11" t="n">
        <v>75</v>
      </c>
      <c r="M252" s="14" t="n">
        <v>0</v>
      </c>
      <c r="N252" s="13" t="n">
        <v>45.73</v>
      </c>
      <c r="O252" s="13" t="n">
        <f aca="false">K252*L252*(1-M252)</f>
        <v>10095.75</v>
      </c>
      <c r="P252" s="13" t="n">
        <f aca="false">N252*L252</f>
        <v>3429.75</v>
      </c>
      <c r="Q252" s="13" t="n">
        <f aca="false">O252-P252</f>
        <v>6666</v>
      </c>
      <c r="R252" s="11" t="s">
        <v>114</v>
      </c>
      <c r="S252" s="11" t="s">
        <v>72</v>
      </c>
    </row>
    <row r="253" customFormat="false" ht="15" hidden="false" customHeight="true" outlineLevel="0" collapsed="false">
      <c r="A253" s="15" t="s">
        <v>389</v>
      </c>
      <c r="B253" s="16" t="n">
        <v>45488</v>
      </c>
      <c r="C253" s="15" t="s">
        <v>38</v>
      </c>
      <c r="D253" s="15" t="s">
        <v>88</v>
      </c>
      <c r="E253" s="15" t="s">
        <v>89</v>
      </c>
      <c r="F253" s="15" t="s">
        <v>123</v>
      </c>
      <c r="G253" s="15" t="s">
        <v>130</v>
      </c>
      <c r="H253" s="15" t="s">
        <v>53</v>
      </c>
      <c r="I253" s="15" t="s">
        <v>54</v>
      </c>
      <c r="J253" s="15" t="s">
        <v>55</v>
      </c>
      <c r="K253" s="17" t="n">
        <v>26.22</v>
      </c>
      <c r="L253" s="15" t="n">
        <v>27</v>
      </c>
      <c r="M253" s="18" t="n">
        <v>0.05</v>
      </c>
      <c r="N253" s="17" t="n">
        <v>17.13</v>
      </c>
      <c r="O253" s="17" t="n">
        <f aca="false">K253*L253*(1-M253)</f>
        <v>672.543</v>
      </c>
      <c r="P253" s="17" t="n">
        <f aca="false">N253*L253</f>
        <v>462.51</v>
      </c>
      <c r="Q253" s="17" t="n">
        <f aca="false">O253-P253</f>
        <v>210.033</v>
      </c>
      <c r="R253" s="15" t="s">
        <v>71</v>
      </c>
      <c r="S253" s="15" t="s">
        <v>47</v>
      </c>
    </row>
    <row r="254" customFormat="false" ht="15" hidden="false" customHeight="true" outlineLevel="0" collapsed="false">
      <c r="A254" s="11" t="s">
        <v>390</v>
      </c>
      <c r="B254" s="12" t="n">
        <v>45489</v>
      </c>
      <c r="C254" s="11" t="s">
        <v>65</v>
      </c>
      <c r="D254" s="11" t="s">
        <v>116</v>
      </c>
      <c r="E254" s="11" t="s">
        <v>117</v>
      </c>
      <c r="F254" s="11" t="s">
        <v>135</v>
      </c>
      <c r="G254" s="11" t="s">
        <v>126</v>
      </c>
      <c r="H254" s="11" t="s">
        <v>78</v>
      </c>
      <c r="I254" s="11" t="s">
        <v>143</v>
      </c>
      <c r="J254" s="11" t="s">
        <v>158</v>
      </c>
      <c r="K254" s="13" t="n">
        <v>728.09</v>
      </c>
      <c r="L254" s="11" t="n">
        <v>8</v>
      </c>
      <c r="M254" s="14" t="n">
        <v>0</v>
      </c>
      <c r="N254" s="13" t="n">
        <v>608.19</v>
      </c>
      <c r="O254" s="13" t="n">
        <f aca="false">K254*L254*(1-M254)</f>
        <v>5824.72</v>
      </c>
      <c r="P254" s="13" t="n">
        <f aca="false">N254*L254</f>
        <v>4865.52</v>
      </c>
      <c r="Q254" s="13" t="n">
        <f aca="false">O254-P254</f>
        <v>959.2</v>
      </c>
      <c r="R254" s="11" t="s">
        <v>46</v>
      </c>
      <c r="S254" s="11" t="s">
        <v>47</v>
      </c>
    </row>
    <row r="255" customFormat="false" ht="15" hidden="false" customHeight="true" outlineLevel="0" collapsed="false">
      <c r="A255" s="15" t="s">
        <v>391</v>
      </c>
      <c r="B255" s="16" t="n">
        <v>45490</v>
      </c>
      <c r="C255" s="15" t="s">
        <v>49</v>
      </c>
      <c r="D255" s="15" t="s">
        <v>97</v>
      </c>
      <c r="E255" s="15" t="s">
        <v>108</v>
      </c>
      <c r="F255" s="15" t="s">
        <v>51</v>
      </c>
      <c r="G255" s="15" t="s">
        <v>130</v>
      </c>
      <c r="H255" s="15" t="s">
        <v>84</v>
      </c>
      <c r="I255" s="15" t="s">
        <v>136</v>
      </c>
      <c r="J255" s="15" t="s">
        <v>137</v>
      </c>
      <c r="K255" s="17" t="n">
        <v>189.75</v>
      </c>
      <c r="L255" s="15" t="n">
        <v>19</v>
      </c>
      <c r="M255" s="18" t="n">
        <v>0.05</v>
      </c>
      <c r="N255" s="17" t="n">
        <v>135.29</v>
      </c>
      <c r="O255" s="17" t="n">
        <f aca="false">K255*L255*(1-M255)</f>
        <v>3424.9875</v>
      </c>
      <c r="P255" s="17" t="n">
        <f aca="false">N255*L255</f>
        <v>2570.51</v>
      </c>
      <c r="Q255" s="17" t="n">
        <f aca="false">O255-P255</f>
        <v>854.4775</v>
      </c>
      <c r="R255" s="15" t="s">
        <v>63</v>
      </c>
      <c r="S255" s="15" t="s">
        <v>47</v>
      </c>
    </row>
    <row r="256" customFormat="false" ht="15" hidden="false" customHeight="true" outlineLevel="0" collapsed="false">
      <c r="A256" s="11" t="s">
        <v>392</v>
      </c>
      <c r="B256" s="12" t="n">
        <v>45491</v>
      </c>
      <c r="C256" s="11" t="s">
        <v>49</v>
      </c>
      <c r="D256" s="11" t="s">
        <v>97</v>
      </c>
      <c r="E256" s="11" t="s">
        <v>112</v>
      </c>
      <c r="F256" s="11" t="s">
        <v>109</v>
      </c>
      <c r="G256" s="11" t="s">
        <v>42</v>
      </c>
      <c r="H256" s="11" t="s">
        <v>78</v>
      </c>
      <c r="I256" s="11" t="s">
        <v>143</v>
      </c>
      <c r="J256" s="11" t="s">
        <v>158</v>
      </c>
      <c r="K256" s="13" t="n">
        <v>947.04</v>
      </c>
      <c r="L256" s="11" t="n">
        <v>6</v>
      </c>
      <c r="M256" s="14" t="n">
        <v>0.15</v>
      </c>
      <c r="N256" s="13" t="n">
        <v>758.81</v>
      </c>
      <c r="O256" s="13" t="n">
        <f aca="false">K256*L256*(1-M256)</f>
        <v>4829.904</v>
      </c>
      <c r="P256" s="13" t="n">
        <f aca="false">N256*L256</f>
        <v>4552.86</v>
      </c>
      <c r="Q256" s="13" t="n">
        <f aca="false">O256-P256</f>
        <v>277.044</v>
      </c>
      <c r="R256" s="11" t="s">
        <v>63</v>
      </c>
      <c r="S256" s="11" t="s">
        <v>47</v>
      </c>
    </row>
    <row r="257" customFormat="false" ht="15" hidden="false" customHeight="true" outlineLevel="0" collapsed="false">
      <c r="A257" s="15" t="s">
        <v>393</v>
      </c>
      <c r="B257" s="16" t="n">
        <v>45491</v>
      </c>
      <c r="C257" s="15" t="s">
        <v>74</v>
      </c>
      <c r="D257" s="15" t="s">
        <v>171</v>
      </c>
      <c r="E257" s="15" t="s">
        <v>172</v>
      </c>
      <c r="F257" s="15" t="s">
        <v>123</v>
      </c>
      <c r="G257" s="15" t="s">
        <v>42</v>
      </c>
      <c r="H257" s="15" t="s">
        <v>78</v>
      </c>
      <c r="I257" s="15" t="s">
        <v>154</v>
      </c>
      <c r="J257" s="15" t="s">
        <v>186</v>
      </c>
      <c r="K257" s="17" t="n">
        <v>863.79</v>
      </c>
      <c r="L257" s="15" t="n">
        <v>11</v>
      </c>
      <c r="M257" s="18" t="n">
        <v>0.1</v>
      </c>
      <c r="N257" s="17" t="n">
        <v>738.17</v>
      </c>
      <c r="O257" s="17" t="n">
        <f aca="false">K257*L257*(1-M257)</f>
        <v>8551.521</v>
      </c>
      <c r="P257" s="17" t="n">
        <f aca="false">N257*L257</f>
        <v>8119.87</v>
      </c>
      <c r="Q257" s="17" t="n">
        <f aca="false">O257-P257</f>
        <v>431.650999999999</v>
      </c>
      <c r="R257" s="15" t="s">
        <v>46</v>
      </c>
      <c r="S257" s="15" t="s">
        <v>187</v>
      </c>
    </row>
    <row r="258" customFormat="false" ht="15" hidden="false" customHeight="true" outlineLevel="0" collapsed="false">
      <c r="A258" s="11" t="s">
        <v>394</v>
      </c>
      <c r="B258" s="12" t="n">
        <v>45492</v>
      </c>
      <c r="C258" s="11" t="s">
        <v>49</v>
      </c>
      <c r="D258" s="11" t="s">
        <v>50</v>
      </c>
      <c r="E258" s="11" t="s">
        <v>50</v>
      </c>
      <c r="F258" s="11" t="s">
        <v>68</v>
      </c>
      <c r="G258" s="11" t="s">
        <v>77</v>
      </c>
      <c r="H258" s="11" t="s">
        <v>43</v>
      </c>
      <c r="I258" s="11" t="s">
        <v>44</v>
      </c>
      <c r="J258" s="11" t="s">
        <v>45</v>
      </c>
      <c r="K258" s="13" t="n">
        <v>310.08</v>
      </c>
      <c r="L258" s="11" t="n">
        <v>56</v>
      </c>
      <c r="M258" s="14" t="n">
        <v>0.1</v>
      </c>
      <c r="N258" s="13" t="n">
        <v>86.39</v>
      </c>
      <c r="O258" s="13" t="n">
        <f aca="false">K258*L258*(1-M258)</f>
        <v>15628.032</v>
      </c>
      <c r="P258" s="13" t="n">
        <f aca="false">N258*L258</f>
        <v>4837.84</v>
      </c>
      <c r="Q258" s="13" t="n">
        <f aca="false">O258-P258</f>
        <v>10790.192</v>
      </c>
      <c r="R258" s="11" t="s">
        <v>46</v>
      </c>
      <c r="S258" s="11" t="s">
        <v>47</v>
      </c>
    </row>
    <row r="259" customFormat="false" ht="15" hidden="false" customHeight="true" outlineLevel="0" collapsed="false">
      <c r="A259" s="15" t="s">
        <v>395</v>
      </c>
      <c r="B259" s="16" t="n">
        <v>45493</v>
      </c>
      <c r="C259" s="15" t="s">
        <v>57</v>
      </c>
      <c r="D259" s="15" t="s">
        <v>162</v>
      </c>
      <c r="E259" s="15" t="s">
        <v>163</v>
      </c>
      <c r="F259" s="15" t="s">
        <v>68</v>
      </c>
      <c r="G259" s="15" t="s">
        <v>130</v>
      </c>
      <c r="H259" s="15" t="s">
        <v>43</v>
      </c>
      <c r="I259" s="15" t="s">
        <v>44</v>
      </c>
      <c r="J259" s="15" t="s">
        <v>45</v>
      </c>
      <c r="K259" s="17" t="n">
        <v>273.84</v>
      </c>
      <c r="L259" s="15" t="n">
        <v>29</v>
      </c>
      <c r="M259" s="18" t="n">
        <v>0.15</v>
      </c>
      <c r="N259" s="17" t="n">
        <v>94.14</v>
      </c>
      <c r="O259" s="17" t="n">
        <f aca="false">K259*L259*(1-M259)</f>
        <v>6750.156</v>
      </c>
      <c r="P259" s="17" t="n">
        <f aca="false">N259*L259</f>
        <v>2730.06</v>
      </c>
      <c r="Q259" s="17" t="n">
        <f aca="false">O259-P259</f>
        <v>4020.096</v>
      </c>
      <c r="R259" s="15" t="s">
        <v>63</v>
      </c>
      <c r="S259" s="15" t="s">
        <v>124</v>
      </c>
    </row>
    <row r="260" customFormat="false" ht="15" hidden="false" customHeight="true" outlineLevel="0" collapsed="false">
      <c r="A260" s="11" t="s">
        <v>396</v>
      </c>
      <c r="B260" s="12" t="n">
        <v>45493</v>
      </c>
      <c r="C260" s="11" t="s">
        <v>65</v>
      </c>
      <c r="D260" s="11" t="s">
        <v>149</v>
      </c>
      <c r="E260" s="11" t="s">
        <v>150</v>
      </c>
      <c r="F260" s="11" t="s">
        <v>41</v>
      </c>
      <c r="G260" s="11" t="s">
        <v>42</v>
      </c>
      <c r="H260" s="11" t="s">
        <v>78</v>
      </c>
      <c r="I260" s="11" t="s">
        <v>143</v>
      </c>
      <c r="J260" s="11" t="s">
        <v>144</v>
      </c>
      <c r="K260" s="13" t="n">
        <v>1513.82</v>
      </c>
      <c r="L260" s="11" t="n">
        <v>8</v>
      </c>
      <c r="M260" s="14" t="n">
        <v>0.05</v>
      </c>
      <c r="N260" s="13" t="n">
        <v>1215.3</v>
      </c>
      <c r="O260" s="13" t="n">
        <f aca="false">K260*L260*(1-M260)</f>
        <v>11505.032</v>
      </c>
      <c r="P260" s="13" t="n">
        <f aca="false">N260*L260</f>
        <v>9722.4</v>
      </c>
      <c r="Q260" s="13" t="n">
        <f aca="false">O260-P260</f>
        <v>1782.632</v>
      </c>
      <c r="R260" s="11" t="s">
        <v>114</v>
      </c>
      <c r="S260" s="11" t="s">
        <v>72</v>
      </c>
    </row>
    <row r="261" customFormat="false" ht="15" hidden="false" customHeight="true" outlineLevel="0" collapsed="false">
      <c r="A261" s="15" t="s">
        <v>397</v>
      </c>
      <c r="B261" s="16" t="n">
        <v>45496</v>
      </c>
      <c r="C261" s="15" t="s">
        <v>49</v>
      </c>
      <c r="D261" s="15" t="s">
        <v>97</v>
      </c>
      <c r="E261" s="15" t="s">
        <v>98</v>
      </c>
      <c r="F261" s="15" t="s">
        <v>68</v>
      </c>
      <c r="G261" s="15" t="s">
        <v>42</v>
      </c>
      <c r="H261" s="15" t="s">
        <v>78</v>
      </c>
      <c r="I261" s="15" t="s">
        <v>120</v>
      </c>
      <c r="J261" s="15" t="s">
        <v>121</v>
      </c>
      <c r="K261" s="17" t="n">
        <v>297.38</v>
      </c>
      <c r="L261" s="15" t="n">
        <v>36</v>
      </c>
      <c r="M261" s="18" t="n">
        <v>0</v>
      </c>
      <c r="N261" s="17" t="n">
        <v>227.58</v>
      </c>
      <c r="O261" s="17" t="n">
        <f aca="false">K261*L261*(1-M261)</f>
        <v>10705.68</v>
      </c>
      <c r="P261" s="17" t="n">
        <f aca="false">N261*L261</f>
        <v>8192.88</v>
      </c>
      <c r="Q261" s="17" t="n">
        <f aca="false">O261-P261</f>
        <v>2512.8</v>
      </c>
      <c r="R261" s="15" t="s">
        <v>46</v>
      </c>
      <c r="S261" s="15" t="s">
        <v>72</v>
      </c>
    </row>
    <row r="262" customFormat="false" ht="15" hidden="false" customHeight="true" outlineLevel="0" collapsed="false">
      <c r="A262" s="11" t="s">
        <v>398</v>
      </c>
      <c r="B262" s="12" t="n">
        <v>45496</v>
      </c>
      <c r="C262" s="11" t="s">
        <v>49</v>
      </c>
      <c r="D262" s="11" t="s">
        <v>97</v>
      </c>
      <c r="E262" s="11" t="s">
        <v>98</v>
      </c>
      <c r="F262" s="11" t="s">
        <v>118</v>
      </c>
      <c r="G262" s="11" t="s">
        <v>42</v>
      </c>
      <c r="H262" s="11" t="s">
        <v>84</v>
      </c>
      <c r="I262" s="11" t="s">
        <v>100</v>
      </c>
      <c r="J262" s="11" t="s">
        <v>101</v>
      </c>
      <c r="K262" s="13" t="n">
        <v>1375.29</v>
      </c>
      <c r="L262" s="11" t="n">
        <v>1</v>
      </c>
      <c r="M262" s="14" t="n">
        <v>0.05</v>
      </c>
      <c r="N262" s="13" t="n">
        <v>1135.12</v>
      </c>
      <c r="O262" s="13" t="n">
        <f aca="false">K262*L262*(1-M262)</f>
        <v>1306.5255</v>
      </c>
      <c r="P262" s="13" t="n">
        <f aca="false">N262*L262</f>
        <v>1135.12</v>
      </c>
      <c r="Q262" s="13" t="n">
        <f aca="false">O262-P262</f>
        <v>171.4055</v>
      </c>
      <c r="R262" s="11" t="s">
        <v>46</v>
      </c>
      <c r="S262" s="11" t="s">
        <v>47</v>
      </c>
    </row>
    <row r="263" customFormat="false" ht="15" hidden="false" customHeight="true" outlineLevel="0" collapsed="false">
      <c r="A263" s="15" t="s">
        <v>399</v>
      </c>
      <c r="B263" s="16" t="n">
        <v>45497</v>
      </c>
      <c r="C263" s="15" t="s">
        <v>49</v>
      </c>
      <c r="D263" s="15" t="s">
        <v>152</v>
      </c>
      <c r="E263" s="15" t="s">
        <v>152</v>
      </c>
      <c r="F263" s="15" t="s">
        <v>68</v>
      </c>
      <c r="G263" s="15" t="s">
        <v>52</v>
      </c>
      <c r="H263" s="15" t="s">
        <v>84</v>
      </c>
      <c r="I263" s="15" t="s">
        <v>136</v>
      </c>
      <c r="J263" s="15" t="s">
        <v>247</v>
      </c>
      <c r="K263" s="17" t="n">
        <v>1086.2</v>
      </c>
      <c r="L263" s="15" t="n">
        <v>23</v>
      </c>
      <c r="M263" s="18" t="n">
        <v>0</v>
      </c>
      <c r="N263" s="17" t="n">
        <v>785.85</v>
      </c>
      <c r="O263" s="17" t="n">
        <f aca="false">K263*L263*(1-M263)</f>
        <v>24982.6</v>
      </c>
      <c r="P263" s="17" t="n">
        <f aca="false">N263*L263</f>
        <v>18074.55</v>
      </c>
      <c r="Q263" s="17" t="n">
        <f aca="false">O263-P263</f>
        <v>6908.05</v>
      </c>
      <c r="R263" s="15" t="s">
        <v>46</v>
      </c>
      <c r="S263" s="15" t="s">
        <v>47</v>
      </c>
    </row>
    <row r="264" customFormat="false" ht="15" hidden="false" customHeight="true" outlineLevel="0" collapsed="false">
      <c r="A264" s="11" t="s">
        <v>400</v>
      </c>
      <c r="B264" s="12" t="n">
        <v>45498</v>
      </c>
      <c r="C264" s="11" t="s">
        <v>38</v>
      </c>
      <c r="D264" s="11" t="s">
        <v>39</v>
      </c>
      <c r="E264" s="11" t="s">
        <v>40</v>
      </c>
      <c r="F264" s="11" t="s">
        <v>123</v>
      </c>
      <c r="G264" s="11" t="s">
        <v>42</v>
      </c>
      <c r="H264" s="11" t="s">
        <v>78</v>
      </c>
      <c r="I264" s="11" t="s">
        <v>120</v>
      </c>
      <c r="J264" s="11" t="s">
        <v>121</v>
      </c>
      <c r="K264" s="13" t="n">
        <v>301.27</v>
      </c>
      <c r="L264" s="11" t="n">
        <v>58</v>
      </c>
      <c r="M264" s="14" t="n">
        <v>0.1</v>
      </c>
      <c r="N264" s="13" t="n">
        <v>240.52</v>
      </c>
      <c r="O264" s="13" t="n">
        <f aca="false">K264*L264*(1-M264)</f>
        <v>15726.294</v>
      </c>
      <c r="P264" s="13" t="n">
        <f aca="false">N264*L264</f>
        <v>13950.16</v>
      </c>
      <c r="Q264" s="13" t="n">
        <f aca="false">O264-P264</f>
        <v>1776.134</v>
      </c>
      <c r="R264" s="11" t="s">
        <v>114</v>
      </c>
      <c r="S264" s="11" t="s">
        <v>47</v>
      </c>
    </row>
    <row r="265" customFormat="false" ht="15" hidden="false" customHeight="true" outlineLevel="0" collapsed="false">
      <c r="A265" s="15" t="s">
        <v>401</v>
      </c>
      <c r="B265" s="16" t="n">
        <v>45499</v>
      </c>
      <c r="C265" s="15" t="s">
        <v>49</v>
      </c>
      <c r="D265" s="15" t="s">
        <v>97</v>
      </c>
      <c r="E265" s="15" t="s">
        <v>98</v>
      </c>
      <c r="F265" s="15" t="s">
        <v>177</v>
      </c>
      <c r="G265" s="15" t="s">
        <v>42</v>
      </c>
      <c r="H265" s="15" t="s">
        <v>84</v>
      </c>
      <c r="I265" s="15" t="s">
        <v>85</v>
      </c>
      <c r="J265" s="15" t="s">
        <v>86</v>
      </c>
      <c r="K265" s="17" t="n">
        <v>294.56</v>
      </c>
      <c r="L265" s="15" t="n">
        <v>17</v>
      </c>
      <c r="M265" s="18" t="n">
        <v>0</v>
      </c>
      <c r="N265" s="17" t="n">
        <v>207.83</v>
      </c>
      <c r="O265" s="17" t="n">
        <f aca="false">K265*L265*(1-M265)</f>
        <v>5007.52</v>
      </c>
      <c r="P265" s="17" t="n">
        <f aca="false">N265*L265</f>
        <v>3533.11</v>
      </c>
      <c r="Q265" s="17" t="n">
        <f aca="false">O265-P265</f>
        <v>1474.41</v>
      </c>
      <c r="R265" s="15" t="s">
        <v>46</v>
      </c>
      <c r="S265" s="15" t="s">
        <v>47</v>
      </c>
    </row>
    <row r="266" customFormat="false" ht="15" hidden="false" customHeight="true" outlineLevel="0" collapsed="false">
      <c r="A266" s="11" t="s">
        <v>402</v>
      </c>
      <c r="B266" s="12" t="n">
        <v>45499</v>
      </c>
      <c r="C266" s="11" t="s">
        <v>49</v>
      </c>
      <c r="D266" s="11" t="s">
        <v>97</v>
      </c>
      <c r="E266" s="11" t="s">
        <v>108</v>
      </c>
      <c r="F266" s="11" t="s">
        <v>123</v>
      </c>
      <c r="G266" s="11" t="s">
        <v>42</v>
      </c>
      <c r="H266" s="11" t="s">
        <v>78</v>
      </c>
      <c r="I266" s="11" t="s">
        <v>79</v>
      </c>
      <c r="J266" s="11" t="s">
        <v>242</v>
      </c>
      <c r="K266" s="13" t="n">
        <v>4093.27</v>
      </c>
      <c r="L266" s="11" t="n">
        <v>9</v>
      </c>
      <c r="M266" s="14" t="n">
        <v>0</v>
      </c>
      <c r="N266" s="13" t="n">
        <v>3358.47</v>
      </c>
      <c r="O266" s="13" t="n">
        <f aca="false">K266*L266*(1-M266)</f>
        <v>36839.43</v>
      </c>
      <c r="P266" s="13" t="n">
        <f aca="false">N266*L266</f>
        <v>30226.23</v>
      </c>
      <c r="Q266" s="13" t="n">
        <f aca="false">O266-P266</f>
        <v>6613.2</v>
      </c>
      <c r="R266" s="11" t="s">
        <v>114</v>
      </c>
      <c r="S266" s="11" t="s">
        <v>47</v>
      </c>
    </row>
    <row r="267" customFormat="false" ht="15" hidden="false" customHeight="true" outlineLevel="0" collapsed="false">
      <c r="A267" s="15" t="s">
        <v>403</v>
      </c>
      <c r="B267" s="16" t="n">
        <v>45500</v>
      </c>
      <c r="C267" s="15" t="s">
        <v>49</v>
      </c>
      <c r="D267" s="15" t="s">
        <v>152</v>
      </c>
      <c r="E267" s="15" t="s">
        <v>152</v>
      </c>
      <c r="F267" s="15" t="s">
        <v>68</v>
      </c>
      <c r="G267" s="15" t="s">
        <v>77</v>
      </c>
      <c r="H267" s="15" t="s">
        <v>43</v>
      </c>
      <c r="I267" s="15" t="s">
        <v>44</v>
      </c>
      <c r="J267" s="15" t="s">
        <v>106</v>
      </c>
      <c r="K267" s="17" t="n">
        <v>344.49</v>
      </c>
      <c r="L267" s="15" t="n">
        <v>51</v>
      </c>
      <c r="M267" s="18" t="n">
        <v>0</v>
      </c>
      <c r="N267" s="17" t="n">
        <v>153.56</v>
      </c>
      <c r="O267" s="17" t="n">
        <f aca="false">K267*L267*(1-M267)</f>
        <v>17568.99</v>
      </c>
      <c r="P267" s="17" t="n">
        <f aca="false">N267*L267</f>
        <v>7831.56</v>
      </c>
      <c r="Q267" s="17" t="n">
        <f aca="false">O267-P267</f>
        <v>9737.43</v>
      </c>
      <c r="R267" s="15" t="s">
        <v>167</v>
      </c>
      <c r="S267" s="15" t="s">
        <v>47</v>
      </c>
    </row>
    <row r="268" customFormat="false" ht="15" hidden="false" customHeight="true" outlineLevel="0" collapsed="false">
      <c r="A268" s="11" t="s">
        <v>404</v>
      </c>
      <c r="B268" s="12" t="n">
        <v>45500</v>
      </c>
      <c r="C268" s="11" t="s">
        <v>65</v>
      </c>
      <c r="D268" s="11" t="s">
        <v>149</v>
      </c>
      <c r="E268" s="11" t="s">
        <v>150</v>
      </c>
      <c r="F268" s="11" t="s">
        <v>99</v>
      </c>
      <c r="G268" s="11" t="s">
        <v>130</v>
      </c>
      <c r="H268" s="11" t="s">
        <v>78</v>
      </c>
      <c r="I268" s="11" t="s">
        <v>79</v>
      </c>
      <c r="J268" s="11" t="s">
        <v>80</v>
      </c>
      <c r="K268" s="13" t="n">
        <v>2806.63</v>
      </c>
      <c r="L268" s="11" t="n">
        <v>4</v>
      </c>
      <c r="M268" s="14" t="n">
        <v>0.05</v>
      </c>
      <c r="N268" s="13" t="n">
        <v>2450.8</v>
      </c>
      <c r="O268" s="13" t="n">
        <f aca="false">K268*L268*(1-M268)</f>
        <v>10665.194</v>
      </c>
      <c r="P268" s="13" t="n">
        <f aca="false">N268*L268</f>
        <v>9803.2</v>
      </c>
      <c r="Q268" s="13" t="n">
        <f aca="false">O268-P268</f>
        <v>861.993999999999</v>
      </c>
      <c r="R268" s="11" t="s">
        <v>46</v>
      </c>
      <c r="S268" s="11" t="s">
        <v>47</v>
      </c>
    </row>
    <row r="269" customFormat="false" ht="15" hidden="false" customHeight="true" outlineLevel="0" collapsed="false">
      <c r="A269" s="15" t="s">
        <v>405</v>
      </c>
      <c r="B269" s="16" t="n">
        <v>45502</v>
      </c>
      <c r="C269" s="15" t="s">
        <v>38</v>
      </c>
      <c r="D269" s="15" t="s">
        <v>92</v>
      </c>
      <c r="E269" s="15" t="s">
        <v>93</v>
      </c>
      <c r="F269" s="15" t="s">
        <v>135</v>
      </c>
      <c r="G269" s="15" t="s">
        <v>42</v>
      </c>
      <c r="H269" s="15" t="s">
        <v>78</v>
      </c>
      <c r="I269" s="15" t="s">
        <v>154</v>
      </c>
      <c r="J269" s="15" t="s">
        <v>155</v>
      </c>
      <c r="K269" s="17" t="n">
        <v>837.11</v>
      </c>
      <c r="L269" s="15" t="n">
        <v>8</v>
      </c>
      <c r="M269" s="18" t="n">
        <v>0.05</v>
      </c>
      <c r="N269" s="17" t="n">
        <v>670.86</v>
      </c>
      <c r="O269" s="17" t="n">
        <f aca="false">K269*L269*(1-M269)</f>
        <v>6362.036</v>
      </c>
      <c r="P269" s="17" t="n">
        <f aca="false">N269*L269</f>
        <v>5366.88</v>
      </c>
      <c r="Q269" s="17" t="n">
        <f aca="false">O269-P269</f>
        <v>995.156</v>
      </c>
      <c r="R269" s="15" t="s">
        <v>114</v>
      </c>
      <c r="S269" s="15" t="s">
        <v>47</v>
      </c>
    </row>
    <row r="270" customFormat="false" ht="15" hidden="false" customHeight="true" outlineLevel="0" collapsed="false">
      <c r="A270" s="11" t="s">
        <v>406</v>
      </c>
      <c r="B270" s="12" t="n">
        <v>45502</v>
      </c>
      <c r="C270" s="11" t="s">
        <v>38</v>
      </c>
      <c r="D270" s="11" t="s">
        <v>88</v>
      </c>
      <c r="E270" s="11" t="s">
        <v>89</v>
      </c>
      <c r="F270" s="11" t="s">
        <v>68</v>
      </c>
      <c r="G270" s="11" t="s">
        <v>42</v>
      </c>
      <c r="H270" s="11" t="s">
        <v>53</v>
      </c>
      <c r="I270" s="11" t="s">
        <v>69</v>
      </c>
      <c r="J270" s="11" t="s">
        <v>70</v>
      </c>
      <c r="K270" s="13" t="n">
        <v>30.65</v>
      </c>
      <c r="L270" s="11" t="n">
        <v>147</v>
      </c>
      <c r="M270" s="14" t="n">
        <v>0</v>
      </c>
      <c r="N270" s="13" t="n">
        <v>21.8</v>
      </c>
      <c r="O270" s="13" t="n">
        <f aca="false">K270*L270*(1-M270)</f>
        <v>4505.55</v>
      </c>
      <c r="P270" s="13" t="n">
        <f aca="false">N270*L270</f>
        <v>3204.6</v>
      </c>
      <c r="Q270" s="13" t="n">
        <f aca="false">O270-P270</f>
        <v>1300.95</v>
      </c>
      <c r="R270" s="11" t="s">
        <v>63</v>
      </c>
      <c r="S270" s="11" t="s">
        <v>47</v>
      </c>
    </row>
    <row r="271" customFormat="false" ht="15" hidden="false" customHeight="true" outlineLevel="0" collapsed="false">
      <c r="A271" s="15" t="s">
        <v>407</v>
      </c>
      <c r="B271" s="16" t="n">
        <v>45505</v>
      </c>
      <c r="C271" s="15" t="s">
        <v>74</v>
      </c>
      <c r="D271" s="15" t="s">
        <v>171</v>
      </c>
      <c r="E271" s="15" t="s">
        <v>172</v>
      </c>
      <c r="F271" s="15" t="s">
        <v>60</v>
      </c>
      <c r="G271" s="15" t="s">
        <v>126</v>
      </c>
      <c r="H271" s="15" t="s">
        <v>78</v>
      </c>
      <c r="I271" s="15" t="s">
        <v>120</v>
      </c>
      <c r="J271" s="15" t="s">
        <v>121</v>
      </c>
      <c r="K271" s="17" t="n">
        <v>370.62</v>
      </c>
      <c r="L271" s="15" t="n">
        <v>10</v>
      </c>
      <c r="M271" s="18" t="n">
        <v>0.1</v>
      </c>
      <c r="N271" s="17" t="n">
        <v>271.26</v>
      </c>
      <c r="O271" s="17" t="n">
        <f aca="false">K271*L271*(1-M271)</f>
        <v>3335.58</v>
      </c>
      <c r="P271" s="17" t="n">
        <f aca="false">N271*L271</f>
        <v>2712.6</v>
      </c>
      <c r="Q271" s="17" t="n">
        <f aca="false">O271-P271</f>
        <v>622.98</v>
      </c>
      <c r="R271" s="15" t="s">
        <v>46</v>
      </c>
      <c r="S271" s="15" t="s">
        <v>47</v>
      </c>
    </row>
    <row r="272" customFormat="false" ht="15" hidden="false" customHeight="true" outlineLevel="0" collapsed="false">
      <c r="A272" s="11" t="s">
        <v>408</v>
      </c>
      <c r="B272" s="12" t="n">
        <v>45506</v>
      </c>
      <c r="C272" s="11" t="s">
        <v>49</v>
      </c>
      <c r="D272" s="11" t="s">
        <v>97</v>
      </c>
      <c r="E272" s="11" t="s">
        <v>108</v>
      </c>
      <c r="F272" s="11" t="s">
        <v>109</v>
      </c>
      <c r="G272" s="11" t="s">
        <v>77</v>
      </c>
      <c r="H272" s="11" t="s">
        <v>78</v>
      </c>
      <c r="I272" s="11" t="s">
        <v>154</v>
      </c>
      <c r="J272" s="11" t="s">
        <v>186</v>
      </c>
      <c r="K272" s="13" t="n">
        <v>661.93</v>
      </c>
      <c r="L272" s="11" t="n">
        <v>5</v>
      </c>
      <c r="M272" s="14" t="n">
        <v>0.1</v>
      </c>
      <c r="N272" s="13" t="n">
        <v>558.09</v>
      </c>
      <c r="O272" s="13" t="n">
        <f aca="false">K272*L272*(1-M272)</f>
        <v>2978.685</v>
      </c>
      <c r="P272" s="13" t="n">
        <f aca="false">N272*L272</f>
        <v>2790.45</v>
      </c>
      <c r="Q272" s="13" t="n">
        <f aca="false">O272-P272</f>
        <v>188.235</v>
      </c>
      <c r="R272" s="11" t="s">
        <v>46</v>
      </c>
      <c r="S272" s="11" t="s">
        <v>124</v>
      </c>
    </row>
    <row r="273" customFormat="false" ht="15" hidden="false" customHeight="true" outlineLevel="0" collapsed="false">
      <c r="A273" s="15" t="s">
        <v>409</v>
      </c>
      <c r="B273" s="16" t="n">
        <v>45507</v>
      </c>
      <c r="C273" s="15" t="s">
        <v>49</v>
      </c>
      <c r="D273" s="15" t="s">
        <v>97</v>
      </c>
      <c r="E273" s="15" t="s">
        <v>98</v>
      </c>
      <c r="F273" s="15" t="s">
        <v>118</v>
      </c>
      <c r="G273" s="15" t="s">
        <v>130</v>
      </c>
      <c r="H273" s="15" t="s">
        <v>78</v>
      </c>
      <c r="I273" s="15" t="s">
        <v>154</v>
      </c>
      <c r="J273" s="15" t="s">
        <v>186</v>
      </c>
      <c r="K273" s="17" t="n">
        <v>774.01</v>
      </c>
      <c r="L273" s="15" t="n">
        <v>20</v>
      </c>
      <c r="M273" s="18" t="n">
        <v>0</v>
      </c>
      <c r="N273" s="17" t="n">
        <v>664.74</v>
      </c>
      <c r="O273" s="17" t="n">
        <f aca="false">K273*L273*(1-M273)</f>
        <v>15480.2</v>
      </c>
      <c r="P273" s="17" t="n">
        <f aca="false">N273*L273</f>
        <v>13294.8</v>
      </c>
      <c r="Q273" s="17" t="n">
        <f aca="false">O273-P273</f>
        <v>2185.4</v>
      </c>
      <c r="R273" s="15" t="s">
        <v>63</v>
      </c>
      <c r="S273" s="15" t="s">
        <v>47</v>
      </c>
    </row>
    <row r="274" customFormat="false" ht="15" hidden="false" customHeight="true" outlineLevel="0" collapsed="false">
      <c r="A274" s="11" t="s">
        <v>410</v>
      </c>
      <c r="B274" s="12" t="n">
        <v>45507</v>
      </c>
      <c r="C274" s="11" t="s">
        <v>49</v>
      </c>
      <c r="D274" s="11" t="s">
        <v>50</v>
      </c>
      <c r="E274" s="11" t="s">
        <v>50</v>
      </c>
      <c r="F274" s="11" t="s">
        <v>123</v>
      </c>
      <c r="G274" s="11" t="s">
        <v>52</v>
      </c>
      <c r="H274" s="11" t="s">
        <v>78</v>
      </c>
      <c r="I274" s="11" t="s">
        <v>79</v>
      </c>
      <c r="J274" s="11" t="s">
        <v>80</v>
      </c>
      <c r="K274" s="13" t="n">
        <v>3183.39</v>
      </c>
      <c r="L274" s="11" t="n">
        <v>8</v>
      </c>
      <c r="M274" s="14" t="n">
        <v>0</v>
      </c>
      <c r="N274" s="13" t="n">
        <v>2589.83</v>
      </c>
      <c r="O274" s="13" t="n">
        <f aca="false">K274*L274*(1-M274)</f>
        <v>25467.12</v>
      </c>
      <c r="P274" s="13" t="n">
        <f aca="false">N274*L274</f>
        <v>20718.64</v>
      </c>
      <c r="Q274" s="13" t="n">
        <f aca="false">O274-P274</f>
        <v>4748.48</v>
      </c>
      <c r="R274" s="11" t="s">
        <v>71</v>
      </c>
      <c r="S274" s="11" t="s">
        <v>47</v>
      </c>
    </row>
    <row r="275" customFormat="false" ht="15" hidden="false" customHeight="true" outlineLevel="0" collapsed="false">
      <c r="A275" s="15" t="s">
        <v>411</v>
      </c>
      <c r="B275" s="16" t="n">
        <v>45507</v>
      </c>
      <c r="C275" s="15" t="s">
        <v>49</v>
      </c>
      <c r="D275" s="15" t="s">
        <v>97</v>
      </c>
      <c r="E275" s="15" t="s">
        <v>108</v>
      </c>
      <c r="F275" s="15" t="s">
        <v>60</v>
      </c>
      <c r="G275" s="15" t="s">
        <v>130</v>
      </c>
      <c r="H275" s="15" t="s">
        <v>53</v>
      </c>
      <c r="I275" s="15" t="s">
        <v>69</v>
      </c>
      <c r="J275" s="15" t="s">
        <v>70</v>
      </c>
      <c r="K275" s="17" t="n">
        <v>26.11</v>
      </c>
      <c r="L275" s="15" t="n">
        <v>121</v>
      </c>
      <c r="M275" s="18" t="n">
        <v>0</v>
      </c>
      <c r="N275" s="17" t="n">
        <v>17.6</v>
      </c>
      <c r="O275" s="17" t="n">
        <f aca="false">K275*L275*(1-M275)</f>
        <v>3159.31</v>
      </c>
      <c r="P275" s="17" t="n">
        <f aca="false">N275*L275</f>
        <v>2129.6</v>
      </c>
      <c r="Q275" s="17" t="n">
        <f aca="false">O275-P275</f>
        <v>1029.71</v>
      </c>
      <c r="R275" s="15" t="s">
        <v>46</v>
      </c>
      <c r="S275" s="15" t="s">
        <v>47</v>
      </c>
    </row>
    <row r="276" customFormat="false" ht="15" hidden="false" customHeight="true" outlineLevel="0" collapsed="false">
      <c r="A276" s="11" t="s">
        <v>412</v>
      </c>
      <c r="B276" s="12" t="n">
        <v>45507</v>
      </c>
      <c r="C276" s="11" t="s">
        <v>49</v>
      </c>
      <c r="D276" s="11" t="s">
        <v>97</v>
      </c>
      <c r="E276" s="11" t="s">
        <v>112</v>
      </c>
      <c r="F276" s="11" t="s">
        <v>135</v>
      </c>
      <c r="G276" s="11" t="s">
        <v>126</v>
      </c>
      <c r="H276" s="11" t="s">
        <v>84</v>
      </c>
      <c r="I276" s="11" t="s">
        <v>136</v>
      </c>
      <c r="J276" s="11" t="s">
        <v>247</v>
      </c>
      <c r="K276" s="13" t="n">
        <v>657.75</v>
      </c>
      <c r="L276" s="11" t="n">
        <v>17</v>
      </c>
      <c r="M276" s="14" t="n">
        <v>0.2</v>
      </c>
      <c r="N276" s="13" t="n">
        <v>516.56</v>
      </c>
      <c r="O276" s="13" t="n">
        <f aca="false">K276*L276*(1-M276)</f>
        <v>8945.4</v>
      </c>
      <c r="P276" s="13" t="n">
        <f aca="false">N276*L276</f>
        <v>8781.52</v>
      </c>
      <c r="Q276" s="13" t="n">
        <f aca="false">O276-P276</f>
        <v>163.880000000001</v>
      </c>
      <c r="R276" s="11" t="s">
        <v>114</v>
      </c>
      <c r="S276" s="11" t="s">
        <v>47</v>
      </c>
    </row>
    <row r="277" customFormat="false" ht="15" hidden="false" customHeight="true" outlineLevel="0" collapsed="false">
      <c r="A277" s="15" t="s">
        <v>413</v>
      </c>
      <c r="B277" s="16" t="n">
        <v>45510</v>
      </c>
      <c r="C277" s="15" t="s">
        <v>49</v>
      </c>
      <c r="D277" s="15" t="s">
        <v>50</v>
      </c>
      <c r="E277" s="15" t="s">
        <v>50</v>
      </c>
      <c r="F277" s="15" t="s">
        <v>123</v>
      </c>
      <c r="G277" s="15" t="s">
        <v>77</v>
      </c>
      <c r="H277" s="15" t="s">
        <v>43</v>
      </c>
      <c r="I277" s="15" t="s">
        <v>61</v>
      </c>
      <c r="J277" s="15" t="s">
        <v>62</v>
      </c>
      <c r="K277" s="17" t="n">
        <v>442.94</v>
      </c>
      <c r="L277" s="15" t="n">
        <v>19</v>
      </c>
      <c r="M277" s="18" t="n">
        <v>0</v>
      </c>
      <c r="N277" s="17" t="n">
        <v>189.74</v>
      </c>
      <c r="O277" s="17" t="n">
        <f aca="false">K277*L277*(1-M277)</f>
        <v>8415.86</v>
      </c>
      <c r="P277" s="17" t="n">
        <f aca="false">N277*L277</f>
        <v>3605.06</v>
      </c>
      <c r="Q277" s="17" t="n">
        <f aca="false">O277-P277</f>
        <v>4810.8</v>
      </c>
      <c r="R277" s="15" t="s">
        <v>46</v>
      </c>
      <c r="S277" s="15" t="s">
        <v>72</v>
      </c>
    </row>
    <row r="278" customFormat="false" ht="15" hidden="false" customHeight="true" outlineLevel="0" collapsed="false">
      <c r="A278" s="11" t="s">
        <v>414</v>
      </c>
      <c r="B278" s="12" t="n">
        <v>45511</v>
      </c>
      <c r="C278" s="11" t="s">
        <v>49</v>
      </c>
      <c r="D278" s="11" t="s">
        <v>50</v>
      </c>
      <c r="E278" s="11" t="s">
        <v>50</v>
      </c>
      <c r="F278" s="11" t="s">
        <v>118</v>
      </c>
      <c r="G278" s="11" t="s">
        <v>52</v>
      </c>
      <c r="H278" s="11" t="s">
        <v>78</v>
      </c>
      <c r="I278" s="11" t="s">
        <v>120</v>
      </c>
      <c r="J278" s="11" t="s">
        <v>232</v>
      </c>
      <c r="K278" s="13" t="n">
        <v>212.61</v>
      </c>
      <c r="L278" s="11" t="n">
        <v>51</v>
      </c>
      <c r="M278" s="14" t="n">
        <v>0.05</v>
      </c>
      <c r="N278" s="13" t="n">
        <v>154.82</v>
      </c>
      <c r="O278" s="13" t="n">
        <f aca="false">K278*L278*(1-M278)</f>
        <v>10300.9545</v>
      </c>
      <c r="P278" s="13" t="n">
        <f aca="false">N278*L278</f>
        <v>7895.82</v>
      </c>
      <c r="Q278" s="13" t="n">
        <f aca="false">O278-P278</f>
        <v>2405.1345</v>
      </c>
      <c r="R278" s="11" t="s">
        <v>46</v>
      </c>
      <c r="S278" s="11" t="s">
        <v>47</v>
      </c>
    </row>
    <row r="279" customFormat="false" ht="15" hidden="false" customHeight="true" outlineLevel="0" collapsed="false">
      <c r="A279" s="15" t="s">
        <v>415</v>
      </c>
      <c r="B279" s="16" t="n">
        <v>45512</v>
      </c>
      <c r="C279" s="15" t="s">
        <v>57</v>
      </c>
      <c r="D279" s="15" t="s">
        <v>58</v>
      </c>
      <c r="E279" s="15" t="s">
        <v>59</v>
      </c>
      <c r="F279" s="15" t="s">
        <v>123</v>
      </c>
      <c r="G279" s="15" t="s">
        <v>126</v>
      </c>
      <c r="H279" s="15" t="s">
        <v>53</v>
      </c>
      <c r="I279" s="15" t="s">
        <v>54</v>
      </c>
      <c r="J279" s="15" t="s">
        <v>55</v>
      </c>
      <c r="K279" s="17" t="n">
        <v>14.25</v>
      </c>
      <c r="L279" s="15" t="n">
        <v>90</v>
      </c>
      <c r="M279" s="18" t="n">
        <v>0.05</v>
      </c>
      <c r="N279" s="17" t="n">
        <v>9.01</v>
      </c>
      <c r="O279" s="17" t="n">
        <f aca="false">K279*L279*(1-M279)</f>
        <v>1218.375</v>
      </c>
      <c r="P279" s="17" t="n">
        <f aca="false">N279*L279</f>
        <v>810.9</v>
      </c>
      <c r="Q279" s="17" t="n">
        <f aca="false">O279-P279</f>
        <v>407.475</v>
      </c>
      <c r="R279" s="15" t="s">
        <v>46</v>
      </c>
      <c r="S279" s="15" t="s">
        <v>187</v>
      </c>
    </row>
    <row r="280" customFormat="false" ht="15" hidden="false" customHeight="true" outlineLevel="0" collapsed="false">
      <c r="A280" s="11" t="s">
        <v>416</v>
      </c>
      <c r="B280" s="12" t="n">
        <v>45514</v>
      </c>
      <c r="C280" s="11" t="s">
        <v>49</v>
      </c>
      <c r="D280" s="11" t="s">
        <v>97</v>
      </c>
      <c r="E280" s="11" t="s">
        <v>108</v>
      </c>
      <c r="F280" s="11" t="s">
        <v>118</v>
      </c>
      <c r="G280" s="11" t="s">
        <v>77</v>
      </c>
      <c r="H280" s="11" t="s">
        <v>53</v>
      </c>
      <c r="I280" s="11" t="s">
        <v>94</v>
      </c>
      <c r="J280" s="11" t="s">
        <v>131</v>
      </c>
      <c r="K280" s="13" t="n">
        <v>48.11</v>
      </c>
      <c r="L280" s="11" t="n">
        <v>36</v>
      </c>
      <c r="M280" s="14" t="n">
        <v>0</v>
      </c>
      <c r="N280" s="13" t="n">
        <v>27.07</v>
      </c>
      <c r="O280" s="13" t="n">
        <f aca="false">K280*L280*(1-M280)</f>
        <v>1731.96</v>
      </c>
      <c r="P280" s="13" t="n">
        <f aca="false">N280*L280</f>
        <v>974.52</v>
      </c>
      <c r="Q280" s="13" t="n">
        <f aca="false">O280-P280</f>
        <v>757.44</v>
      </c>
      <c r="R280" s="11" t="s">
        <v>63</v>
      </c>
      <c r="S280" s="11" t="s">
        <v>47</v>
      </c>
    </row>
    <row r="281" customFormat="false" ht="15" hidden="false" customHeight="true" outlineLevel="0" collapsed="false">
      <c r="A281" s="15" t="s">
        <v>417</v>
      </c>
      <c r="B281" s="16" t="n">
        <v>45514</v>
      </c>
      <c r="C281" s="15" t="s">
        <v>38</v>
      </c>
      <c r="D281" s="15" t="s">
        <v>92</v>
      </c>
      <c r="E281" s="15" t="s">
        <v>93</v>
      </c>
      <c r="F281" s="15" t="s">
        <v>51</v>
      </c>
      <c r="G281" s="15" t="s">
        <v>42</v>
      </c>
      <c r="H281" s="15" t="s">
        <v>43</v>
      </c>
      <c r="I281" s="15" t="s">
        <v>44</v>
      </c>
      <c r="J281" s="15" t="s">
        <v>45</v>
      </c>
      <c r="K281" s="17" t="n">
        <v>127.47</v>
      </c>
      <c r="L281" s="15" t="n">
        <v>75</v>
      </c>
      <c r="M281" s="18" t="n">
        <v>0</v>
      </c>
      <c r="N281" s="17" t="n">
        <v>48.77</v>
      </c>
      <c r="O281" s="17" t="n">
        <f aca="false">K281*L281*(1-M281)</f>
        <v>9560.25</v>
      </c>
      <c r="P281" s="17" t="n">
        <f aca="false">N281*L281</f>
        <v>3657.75</v>
      </c>
      <c r="Q281" s="17" t="n">
        <f aca="false">O281-P281</f>
        <v>5902.5</v>
      </c>
      <c r="R281" s="15" t="s">
        <v>71</v>
      </c>
      <c r="S281" s="15" t="s">
        <v>47</v>
      </c>
    </row>
    <row r="282" customFormat="false" ht="15" hidden="false" customHeight="true" outlineLevel="0" collapsed="false">
      <c r="A282" s="11" t="s">
        <v>418</v>
      </c>
      <c r="B282" s="12" t="n">
        <v>45515</v>
      </c>
      <c r="C282" s="11" t="s">
        <v>49</v>
      </c>
      <c r="D282" s="11" t="s">
        <v>97</v>
      </c>
      <c r="E282" s="11" t="s">
        <v>108</v>
      </c>
      <c r="F282" s="11" t="s">
        <v>109</v>
      </c>
      <c r="G282" s="11" t="s">
        <v>42</v>
      </c>
      <c r="H282" s="11" t="s">
        <v>78</v>
      </c>
      <c r="I282" s="11" t="s">
        <v>79</v>
      </c>
      <c r="J282" s="11" t="s">
        <v>80</v>
      </c>
      <c r="K282" s="13" t="n">
        <v>3676.93</v>
      </c>
      <c r="L282" s="11" t="n">
        <v>8</v>
      </c>
      <c r="M282" s="14" t="n">
        <v>0</v>
      </c>
      <c r="N282" s="13" t="n">
        <v>3106.67</v>
      </c>
      <c r="O282" s="13" t="n">
        <f aca="false">K282*L282*(1-M282)</f>
        <v>29415.44</v>
      </c>
      <c r="P282" s="13" t="n">
        <f aca="false">N282*L282</f>
        <v>24853.36</v>
      </c>
      <c r="Q282" s="13" t="n">
        <f aca="false">O282-P282</f>
        <v>4562.08</v>
      </c>
      <c r="R282" s="11" t="s">
        <v>167</v>
      </c>
      <c r="S282" s="11" t="s">
        <v>47</v>
      </c>
    </row>
    <row r="283" customFormat="false" ht="15" hidden="false" customHeight="true" outlineLevel="0" collapsed="false">
      <c r="A283" s="15" t="s">
        <v>419</v>
      </c>
      <c r="B283" s="16" t="n">
        <v>45517</v>
      </c>
      <c r="C283" s="15" t="s">
        <v>49</v>
      </c>
      <c r="D283" s="15" t="s">
        <v>152</v>
      </c>
      <c r="E283" s="15" t="s">
        <v>152</v>
      </c>
      <c r="F283" s="15" t="s">
        <v>51</v>
      </c>
      <c r="G283" s="15" t="s">
        <v>42</v>
      </c>
      <c r="H283" s="15" t="s">
        <v>84</v>
      </c>
      <c r="I283" s="15" t="s">
        <v>100</v>
      </c>
      <c r="J283" s="15" t="s">
        <v>139</v>
      </c>
      <c r="K283" s="17" t="n">
        <v>720.87</v>
      </c>
      <c r="L283" s="15" t="n">
        <v>16</v>
      </c>
      <c r="M283" s="18" t="n">
        <v>0</v>
      </c>
      <c r="N283" s="17" t="n">
        <v>532.11</v>
      </c>
      <c r="O283" s="17" t="n">
        <f aca="false">K283*L283*(1-M283)</f>
        <v>11533.92</v>
      </c>
      <c r="P283" s="17" t="n">
        <f aca="false">N283*L283</f>
        <v>8513.76</v>
      </c>
      <c r="Q283" s="17" t="n">
        <f aca="false">O283-P283</f>
        <v>3020.16</v>
      </c>
      <c r="R283" s="15" t="s">
        <v>46</v>
      </c>
      <c r="S283" s="15" t="s">
        <v>72</v>
      </c>
    </row>
    <row r="284" customFormat="false" ht="15" hidden="false" customHeight="true" outlineLevel="0" collapsed="false">
      <c r="A284" s="11" t="s">
        <v>420</v>
      </c>
      <c r="B284" s="12" t="n">
        <v>45518</v>
      </c>
      <c r="C284" s="11" t="s">
        <v>38</v>
      </c>
      <c r="D284" s="11" t="s">
        <v>92</v>
      </c>
      <c r="E284" s="11" t="s">
        <v>93</v>
      </c>
      <c r="F284" s="11" t="s">
        <v>60</v>
      </c>
      <c r="G284" s="11" t="s">
        <v>77</v>
      </c>
      <c r="H284" s="11" t="s">
        <v>53</v>
      </c>
      <c r="I284" s="11" t="s">
        <v>69</v>
      </c>
      <c r="J284" s="11" t="s">
        <v>128</v>
      </c>
      <c r="K284" s="13" t="n">
        <v>15.46</v>
      </c>
      <c r="L284" s="11" t="n">
        <v>110</v>
      </c>
      <c r="M284" s="14" t="n">
        <v>0</v>
      </c>
      <c r="N284" s="13" t="n">
        <v>10.21</v>
      </c>
      <c r="O284" s="13" t="n">
        <f aca="false">K284*L284*(1-M284)</f>
        <v>1700.6</v>
      </c>
      <c r="P284" s="13" t="n">
        <f aca="false">N284*L284</f>
        <v>1123.1</v>
      </c>
      <c r="Q284" s="13" t="n">
        <f aca="false">O284-P284</f>
        <v>577.5</v>
      </c>
      <c r="R284" s="11" t="s">
        <v>63</v>
      </c>
      <c r="S284" s="11" t="s">
        <v>47</v>
      </c>
    </row>
    <row r="285" customFormat="false" ht="15" hidden="false" customHeight="true" outlineLevel="0" collapsed="false">
      <c r="A285" s="15" t="s">
        <v>421</v>
      </c>
      <c r="B285" s="16" t="n">
        <v>45519</v>
      </c>
      <c r="C285" s="15" t="s">
        <v>49</v>
      </c>
      <c r="D285" s="15" t="s">
        <v>97</v>
      </c>
      <c r="E285" s="15" t="s">
        <v>108</v>
      </c>
      <c r="F285" s="15" t="s">
        <v>51</v>
      </c>
      <c r="G285" s="15" t="s">
        <v>42</v>
      </c>
      <c r="H285" s="15" t="s">
        <v>43</v>
      </c>
      <c r="I285" s="15" t="s">
        <v>61</v>
      </c>
      <c r="J285" s="15" t="s">
        <v>147</v>
      </c>
      <c r="K285" s="17" t="n">
        <v>306.95</v>
      </c>
      <c r="L285" s="15" t="n">
        <v>45</v>
      </c>
      <c r="M285" s="18" t="n">
        <v>0.05</v>
      </c>
      <c r="N285" s="17" t="n">
        <v>105.93</v>
      </c>
      <c r="O285" s="17" t="n">
        <f aca="false">K285*L285*(1-M285)</f>
        <v>13122.1125</v>
      </c>
      <c r="P285" s="17" t="n">
        <f aca="false">N285*L285</f>
        <v>4766.85</v>
      </c>
      <c r="Q285" s="17" t="n">
        <f aca="false">O285-P285</f>
        <v>8355.2625</v>
      </c>
      <c r="R285" s="15" t="s">
        <v>46</v>
      </c>
      <c r="S285" s="15" t="s">
        <v>47</v>
      </c>
    </row>
    <row r="286" customFormat="false" ht="15" hidden="false" customHeight="true" outlineLevel="0" collapsed="false">
      <c r="A286" s="11" t="s">
        <v>422</v>
      </c>
      <c r="B286" s="12" t="n">
        <v>45521</v>
      </c>
      <c r="C286" s="11" t="s">
        <v>38</v>
      </c>
      <c r="D286" s="11" t="s">
        <v>39</v>
      </c>
      <c r="E286" s="11" t="s">
        <v>40</v>
      </c>
      <c r="F286" s="11" t="s">
        <v>109</v>
      </c>
      <c r="G286" s="11" t="s">
        <v>130</v>
      </c>
      <c r="H286" s="11" t="s">
        <v>43</v>
      </c>
      <c r="I286" s="11" t="s">
        <v>61</v>
      </c>
      <c r="J286" s="11" t="s">
        <v>147</v>
      </c>
      <c r="K286" s="13" t="n">
        <v>283.62</v>
      </c>
      <c r="L286" s="11" t="n">
        <v>20</v>
      </c>
      <c r="M286" s="14" t="n">
        <v>0</v>
      </c>
      <c r="N286" s="13" t="n">
        <v>105.96</v>
      </c>
      <c r="O286" s="13" t="n">
        <f aca="false">K286*L286*(1-M286)</f>
        <v>5672.4</v>
      </c>
      <c r="P286" s="13" t="n">
        <f aca="false">N286*L286</f>
        <v>2119.2</v>
      </c>
      <c r="Q286" s="13" t="n">
        <f aca="false">O286-P286</f>
        <v>3553.2</v>
      </c>
      <c r="R286" s="11" t="s">
        <v>114</v>
      </c>
      <c r="S286" s="11" t="s">
        <v>47</v>
      </c>
    </row>
    <row r="287" customFormat="false" ht="15" hidden="false" customHeight="true" outlineLevel="0" collapsed="false">
      <c r="A287" s="15" t="s">
        <v>423</v>
      </c>
      <c r="B287" s="16" t="n">
        <v>45522</v>
      </c>
      <c r="C287" s="15" t="s">
        <v>38</v>
      </c>
      <c r="D287" s="15" t="s">
        <v>92</v>
      </c>
      <c r="E287" s="15" t="s">
        <v>93</v>
      </c>
      <c r="F287" s="15" t="s">
        <v>99</v>
      </c>
      <c r="G287" s="15" t="s">
        <v>42</v>
      </c>
      <c r="H287" s="15" t="s">
        <v>43</v>
      </c>
      <c r="I287" s="15" t="s">
        <v>44</v>
      </c>
      <c r="J287" s="15" t="s">
        <v>45</v>
      </c>
      <c r="K287" s="17" t="n">
        <v>168.57</v>
      </c>
      <c r="L287" s="15" t="n">
        <v>28</v>
      </c>
      <c r="M287" s="18" t="n">
        <v>0</v>
      </c>
      <c r="N287" s="17" t="n">
        <v>44.41</v>
      </c>
      <c r="O287" s="17" t="n">
        <f aca="false">K287*L287*(1-M287)</f>
        <v>4719.96</v>
      </c>
      <c r="P287" s="17" t="n">
        <f aca="false">N287*L287</f>
        <v>1243.48</v>
      </c>
      <c r="Q287" s="17" t="n">
        <f aca="false">O287-P287</f>
        <v>3476.48</v>
      </c>
      <c r="R287" s="15" t="s">
        <v>63</v>
      </c>
      <c r="S287" s="15" t="s">
        <v>47</v>
      </c>
    </row>
    <row r="288" customFormat="false" ht="15" hidden="false" customHeight="true" outlineLevel="0" collapsed="false">
      <c r="A288" s="11" t="s">
        <v>424</v>
      </c>
      <c r="B288" s="12" t="n">
        <v>45523</v>
      </c>
      <c r="C288" s="11" t="s">
        <v>49</v>
      </c>
      <c r="D288" s="11" t="s">
        <v>152</v>
      </c>
      <c r="E288" s="11" t="s">
        <v>152</v>
      </c>
      <c r="F288" s="11" t="s">
        <v>135</v>
      </c>
      <c r="G288" s="11" t="s">
        <v>126</v>
      </c>
      <c r="H288" s="11" t="s">
        <v>43</v>
      </c>
      <c r="I288" s="11" t="s">
        <v>61</v>
      </c>
      <c r="J288" s="11" t="s">
        <v>62</v>
      </c>
      <c r="K288" s="13" t="n">
        <v>306.62</v>
      </c>
      <c r="L288" s="11" t="n">
        <v>32</v>
      </c>
      <c r="M288" s="14" t="n">
        <v>0.1</v>
      </c>
      <c r="N288" s="13" t="n">
        <v>111.43</v>
      </c>
      <c r="O288" s="13" t="n">
        <f aca="false">K288*L288*(1-M288)</f>
        <v>8830.656</v>
      </c>
      <c r="P288" s="13" t="n">
        <f aca="false">N288*L288</f>
        <v>3565.76</v>
      </c>
      <c r="Q288" s="13" t="n">
        <f aca="false">O288-P288</f>
        <v>5264.896</v>
      </c>
      <c r="R288" s="11" t="s">
        <v>63</v>
      </c>
      <c r="S288" s="11" t="s">
        <v>47</v>
      </c>
    </row>
    <row r="289" customFormat="false" ht="15" hidden="false" customHeight="true" outlineLevel="0" collapsed="false">
      <c r="A289" s="15" t="s">
        <v>425</v>
      </c>
      <c r="B289" s="16" t="n">
        <v>45525</v>
      </c>
      <c r="C289" s="15" t="s">
        <v>38</v>
      </c>
      <c r="D289" s="15" t="s">
        <v>92</v>
      </c>
      <c r="E289" s="15" t="s">
        <v>93</v>
      </c>
      <c r="F289" s="15" t="s">
        <v>123</v>
      </c>
      <c r="G289" s="15" t="s">
        <v>52</v>
      </c>
      <c r="H289" s="15" t="s">
        <v>78</v>
      </c>
      <c r="I289" s="15" t="s">
        <v>154</v>
      </c>
      <c r="J289" s="15" t="s">
        <v>155</v>
      </c>
      <c r="K289" s="17" t="n">
        <v>727.91</v>
      </c>
      <c r="L289" s="15" t="n">
        <v>13</v>
      </c>
      <c r="M289" s="18" t="n">
        <v>0.1</v>
      </c>
      <c r="N289" s="17" t="n">
        <v>616.9</v>
      </c>
      <c r="O289" s="17" t="n">
        <f aca="false">K289*L289*(1-M289)</f>
        <v>8516.547</v>
      </c>
      <c r="P289" s="17" t="n">
        <f aca="false">N289*L289</f>
        <v>8019.7</v>
      </c>
      <c r="Q289" s="17" t="n">
        <f aca="false">O289-P289</f>
        <v>496.847000000001</v>
      </c>
      <c r="R289" s="15" t="s">
        <v>46</v>
      </c>
      <c r="S289" s="15" t="s">
        <v>47</v>
      </c>
    </row>
    <row r="290" customFormat="false" ht="15" hidden="false" customHeight="true" outlineLevel="0" collapsed="false">
      <c r="A290" s="11" t="s">
        <v>426</v>
      </c>
      <c r="B290" s="12" t="n">
        <v>45525</v>
      </c>
      <c r="C290" s="11" t="s">
        <v>65</v>
      </c>
      <c r="D290" s="11" t="s">
        <v>66</v>
      </c>
      <c r="E290" s="11" t="s">
        <v>67</v>
      </c>
      <c r="F290" s="11" t="s">
        <v>109</v>
      </c>
      <c r="G290" s="11" t="s">
        <v>42</v>
      </c>
      <c r="H290" s="11" t="s">
        <v>43</v>
      </c>
      <c r="I290" s="11" t="s">
        <v>61</v>
      </c>
      <c r="J290" s="11" t="s">
        <v>147</v>
      </c>
      <c r="K290" s="13" t="n">
        <v>264.81</v>
      </c>
      <c r="L290" s="11" t="n">
        <v>7</v>
      </c>
      <c r="M290" s="14" t="n">
        <v>0</v>
      </c>
      <c r="N290" s="13" t="n">
        <v>93.14</v>
      </c>
      <c r="O290" s="13" t="n">
        <f aca="false">K290*L290*(1-M290)</f>
        <v>1853.67</v>
      </c>
      <c r="P290" s="13" t="n">
        <f aca="false">N290*L290</f>
        <v>651.98</v>
      </c>
      <c r="Q290" s="13" t="n">
        <f aca="false">O290-P290</f>
        <v>1201.69</v>
      </c>
      <c r="R290" s="11" t="s">
        <v>63</v>
      </c>
      <c r="S290" s="11" t="s">
        <v>47</v>
      </c>
    </row>
    <row r="291" customFormat="false" ht="15" hidden="false" customHeight="true" outlineLevel="0" collapsed="false">
      <c r="A291" s="15" t="s">
        <v>427</v>
      </c>
      <c r="B291" s="16" t="n">
        <v>45527</v>
      </c>
      <c r="C291" s="15" t="s">
        <v>57</v>
      </c>
      <c r="D291" s="15" t="s">
        <v>58</v>
      </c>
      <c r="E291" s="15" t="s">
        <v>59</v>
      </c>
      <c r="F291" s="15" t="s">
        <v>135</v>
      </c>
      <c r="G291" s="15" t="s">
        <v>77</v>
      </c>
      <c r="H291" s="15" t="s">
        <v>43</v>
      </c>
      <c r="I291" s="15" t="s">
        <v>61</v>
      </c>
      <c r="J291" s="15" t="s">
        <v>147</v>
      </c>
      <c r="K291" s="17" t="n">
        <v>355.2</v>
      </c>
      <c r="L291" s="15" t="n">
        <v>48</v>
      </c>
      <c r="M291" s="18" t="n">
        <v>0.15</v>
      </c>
      <c r="N291" s="17" t="n">
        <v>120.64</v>
      </c>
      <c r="O291" s="17" t="n">
        <f aca="false">K291*L291*(1-M291)</f>
        <v>14492.16</v>
      </c>
      <c r="P291" s="17" t="n">
        <f aca="false">N291*L291</f>
        <v>5790.72</v>
      </c>
      <c r="Q291" s="17" t="n">
        <f aca="false">O291-P291</f>
        <v>8701.44</v>
      </c>
      <c r="R291" s="15" t="s">
        <v>63</v>
      </c>
      <c r="S291" s="15" t="s">
        <v>47</v>
      </c>
    </row>
    <row r="292" customFormat="false" ht="15" hidden="false" customHeight="true" outlineLevel="0" collapsed="false">
      <c r="A292" s="11" t="s">
        <v>428</v>
      </c>
      <c r="B292" s="12" t="n">
        <v>45527</v>
      </c>
      <c r="C292" s="11" t="s">
        <v>49</v>
      </c>
      <c r="D292" s="11" t="s">
        <v>152</v>
      </c>
      <c r="E292" s="11" t="s">
        <v>152</v>
      </c>
      <c r="F292" s="11" t="s">
        <v>123</v>
      </c>
      <c r="G292" s="11" t="s">
        <v>126</v>
      </c>
      <c r="H292" s="11" t="s">
        <v>53</v>
      </c>
      <c r="I292" s="11" t="s">
        <v>94</v>
      </c>
      <c r="J292" s="11" t="s">
        <v>95</v>
      </c>
      <c r="K292" s="13" t="n">
        <v>37.83</v>
      </c>
      <c r="L292" s="11" t="n">
        <v>5</v>
      </c>
      <c r="M292" s="14" t="n">
        <v>0</v>
      </c>
      <c r="N292" s="13" t="n">
        <v>21.22</v>
      </c>
      <c r="O292" s="13" t="n">
        <f aca="false">K292*L292*(1-M292)</f>
        <v>189.15</v>
      </c>
      <c r="P292" s="13" t="n">
        <f aca="false">N292*L292</f>
        <v>106.1</v>
      </c>
      <c r="Q292" s="13" t="n">
        <f aca="false">O292-P292</f>
        <v>83.05</v>
      </c>
      <c r="R292" s="11" t="s">
        <v>46</v>
      </c>
      <c r="S292" s="11" t="s">
        <v>47</v>
      </c>
    </row>
    <row r="293" customFormat="false" ht="15" hidden="false" customHeight="true" outlineLevel="0" collapsed="false">
      <c r="A293" s="15" t="s">
        <v>429</v>
      </c>
      <c r="B293" s="16" t="n">
        <v>45527</v>
      </c>
      <c r="C293" s="15" t="s">
        <v>49</v>
      </c>
      <c r="D293" s="15" t="s">
        <v>97</v>
      </c>
      <c r="E293" s="15" t="s">
        <v>108</v>
      </c>
      <c r="F293" s="15" t="s">
        <v>118</v>
      </c>
      <c r="G293" s="15" t="s">
        <v>130</v>
      </c>
      <c r="H293" s="15" t="s">
        <v>53</v>
      </c>
      <c r="I293" s="15" t="s">
        <v>69</v>
      </c>
      <c r="J293" s="15" t="s">
        <v>70</v>
      </c>
      <c r="K293" s="17" t="n">
        <v>24.55</v>
      </c>
      <c r="L293" s="15" t="n">
        <v>145</v>
      </c>
      <c r="M293" s="18" t="n">
        <v>0</v>
      </c>
      <c r="N293" s="17" t="n">
        <v>17.07</v>
      </c>
      <c r="O293" s="17" t="n">
        <f aca="false">K293*L293*(1-M293)</f>
        <v>3559.75</v>
      </c>
      <c r="P293" s="17" t="n">
        <f aca="false">N293*L293</f>
        <v>2475.15</v>
      </c>
      <c r="Q293" s="17" t="n">
        <f aca="false">O293-P293</f>
        <v>1084.6</v>
      </c>
      <c r="R293" s="15" t="s">
        <v>63</v>
      </c>
      <c r="S293" s="15" t="s">
        <v>47</v>
      </c>
    </row>
    <row r="294" customFormat="false" ht="15" hidden="false" customHeight="true" outlineLevel="0" collapsed="false">
      <c r="A294" s="11" t="s">
        <v>430</v>
      </c>
      <c r="B294" s="12" t="n">
        <v>45527</v>
      </c>
      <c r="C294" s="11" t="s">
        <v>57</v>
      </c>
      <c r="D294" s="11" t="s">
        <v>162</v>
      </c>
      <c r="E294" s="11" t="s">
        <v>163</v>
      </c>
      <c r="F294" s="11" t="s">
        <v>135</v>
      </c>
      <c r="G294" s="11" t="s">
        <v>52</v>
      </c>
      <c r="H294" s="11" t="s">
        <v>43</v>
      </c>
      <c r="I294" s="11" t="s">
        <v>44</v>
      </c>
      <c r="J294" s="11" t="s">
        <v>45</v>
      </c>
      <c r="K294" s="13" t="n">
        <v>293.7</v>
      </c>
      <c r="L294" s="11" t="n">
        <v>10</v>
      </c>
      <c r="M294" s="14" t="n">
        <v>0</v>
      </c>
      <c r="N294" s="13" t="n">
        <v>89.6</v>
      </c>
      <c r="O294" s="13" t="n">
        <f aca="false">K294*L294*(1-M294)</f>
        <v>2937</v>
      </c>
      <c r="P294" s="13" t="n">
        <f aca="false">N294*L294</f>
        <v>896</v>
      </c>
      <c r="Q294" s="13" t="n">
        <f aca="false">O294-P294</f>
        <v>2041</v>
      </c>
      <c r="R294" s="11" t="s">
        <v>63</v>
      </c>
      <c r="S294" s="11" t="s">
        <v>47</v>
      </c>
    </row>
    <row r="295" customFormat="false" ht="15" hidden="false" customHeight="true" outlineLevel="0" collapsed="false">
      <c r="A295" s="15" t="s">
        <v>431</v>
      </c>
      <c r="B295" s="16" t="n">
        <v>45528</v>
      </c>
      <c r="C295" s="15" t="s">
        <v>65</v>
      </c>
      <c r="D295" s="15" t="s">
        <v>149</v>
      </c>
      <c r="E295" s="15" t="s">
        <v>150</v>
      </c>
      <c r="F295" s="15" t="s">
        <v>177</v>
      </c>
      <c r="G295" s="15" t="s">
        <v>42</v>
      </c>
      <c r="H295" s="15" t="s">
        <v>78</v>
      </c>
      <c r="I295" s="15" t="s">
        <v>79</v>
      </c>
      <c r="J295" s="15" t="s">
        <v>80</v>
      </c>
      <c r="K295" s="17" t="n">
        <v>3309.01</v>
      </c>
      <c r="L295" s="15" t="n">
        <v>6</v>
      </c>
      <c r="M295" s="18" t="n">
        <v>0.1</v>
      </c>
      <c r="N295" s="17" t="n">
        <v>2712.59</v>
      </c>
      <c r="O295" s="17" t="n">
        <f aca="false">K295*L295*(1-M295)</f>
        <v>17868.654</v>
      </c>
      <c r="P295" s="17" t="n">
        <f aca="false">N295*L295</f>
        <v>16275.54</v>
      </c>
      <c r="Q295" s="17" t="n">
        <f aca="false">O295-P295</f>
        <v>1593.114</v>
      </c>
      <c r="R295" s="15" t="s">
        <v>167</v>
      </c>
      <c r="S295" s="15" t="s">
        <v>47</v>
      </c>
    </row>
    <row r="296" customFormat="false" ht="15" hidden="false" customHeight="true" outlineLevel="0" collapsed="false">
      <c r="A296" s="11" t="s">
        <v>432</v>
      </c>
      <c r="B296" s="12" t="n">
        <v>45529</v>
      </c>
      <c r="C296" s="11" t="s">
        <v>49</v>
      </c>
      <c r="D296" s="11" t="s">
        <v>50</v>
      </c>
      <c r="E296" s="11" t="s">
        <v>50</v>
      </c>
      <c r="F296" s="11" t="s">
        <v>177</v>
      </c>
      <c r="G296" s="11" t="s">
        <v>130</v>
      </c>
      <c r="H296" s="11" t="s">
        <v>53</v>
      </c>
      <c r="I296" s="11" t="s">
        <v>94</v>
      </c>
      <c r="J296" s="11" t="s">
        <v>131</v>
      </c>
      <c r="K296" s="13" t="n">
        <v>32.65</v>
      </c>
      <c r="L296" s="11" t="n">
        <v>45</v>
      </c>
      <c r="M296" s="14" t="n">
        <v>0.1</v>
      </c>
      <c r="N296" s="13" t="n">
        <v>22.63</v>
      </c>
      <c r="O296" s="13" t="n">
        <f aca="false">K296*L296*(1-M296)</f>
        <v>1322.325</v>
      </c>
      <c r="P296" s="13" t="n">
        <f aca="false">N296*L296</f>
        <v>1018.35</v>
      </c>
      <c r="Q296" s="13" t="n">
        <f aca="false">O296-P296</f>
        <v>303.975</v>
      </c>
      <c r="R296" s="11" t="s">
        <v>46</v>
      </c>
      <c r="S296" s="11" t="s">
        <v>187</v>
      </c>
    </row>
    <row r="297" customFormat="false" ht="15" hidden="false" customHeight="true" outlineLevel="0" collapsed="false">
      <c r="A297" s="15" t="s">
        <v>433</v>
      </c>
      <c r="B297" s="16" t="n">
        <v>45530</v>
      </c>
      <c r="C297" s="15" t="s">
        <v>74</v>
      </c>
      <c r="D297" s="15" t="s">
        <v>171</v>
      </c>
      <c r="E297" s="15" t="s">
        <v>172</v>
      </c>
      <c r="F297" s="15" t="s">
        <v>68</v>
      </c>
      <c r="G297" s="15" t="s">
        <v>52</v>
      </c>
      <c r="H297" s="15" t="s">
        <v>53</v>
      </c>
      <c r="I297" s="15" t="s">
        <v>69</v>
      </c>
      <c r="J297" s="15" t="s">
        <v>128</v>
      </c>
      <c r="K297" s="17" t="n">
        <v>18.4</v>
      </c>
      <c r="L297" s="15" t="n">
        <v>116</v>
      </c>
      <c r="M297" s="18" t="n">
        <v>0</v>
      </c>
      <c r="N297" s="17" t="n">
        <v>12.15</v>
      </c>
      <c r="O297" s="17" t="n">
        <f aca="false">K297*L297*(1-M297)</f>
        <v>2134.4</v>
      </c>
      <c r="P297" s="17" t="n">
        <f aca="false">N297*L297</f>
        <v>1409.4</v>
      </c>
      <c r="Q297" s="17" t="n">
        <f aca="false">O297-P297</f>
        <v>725</v>
      </c>
      <c r="R297" s="15" t="s">
        <v>63</v>
      </c>
      <c r="S297" s="15" t="s">
        <v>47</v>
      </c>
    </row>
    <row r="298" customFormat="false" ht="15" hidden="false" customHeight="true" outlineLevel="0" collapsed="false">
      <c r="A298" s="11" t="s">
        <v>434</v>
      </c>
      <c r="B298" s="12" t="n">
        <v>45532</v>
      </c>
      <c r="C298" s="11" t="s">
        <v>49</v>
      </c>
      <c r="D298" s="11" t="s">
        <v>97</v>
      </c>
      <c r="E298" s="11" t="s">
        <v>108</v>
      </c>
      <c r="F298" s="11" t="s">
        <v>123</v>
      </c>
      <c r="G298" s="11" t="s">
        <v>42</v>
      </c>
      <c r="H298" s="11" t="s">
        <v>43</v>
      </c>
      <c r="I298" s="11" t="s">
        <v>44</v>
      </c>
      <c r="J298" s="11" t="s">
        <v>106</v>
      </c>
      <c r="K298" s="13" t="n">
        <v>531.64</v>
      </c>
      <c r="L298" s="11" t="n">
        <v>24</v>
      </c>
      <c r="M298" s="14" t="n">
        <v>0.1</v>
      </c>
      <c r="N298" s="13" t="n">
        <v>227.2</v>
      </c>
      <c r="O298" s="13" t="n">
        <f aca="false">K298*L298*(1-M298)</f>
        <v>11483.424</v>
      </c>
      <c r="P298" s="13" t="n">
        <f aca="false">N298*L298</f>
        <v>5452.8</v>
      </c>
      <c r="Q298" s="13" t="n">
        <f aca="false">O298-P298</f>
        <v>6030.624</v>
      </c>
      <c r="R298" s="11" t="s">
        <v>167</v>
      </c>
      <c r="S298" s="11" t="s">
        <v>47</v>
      </c>
    </row>
    <row r="299" customFormat="false" ht="15" hidden="false" customHeight="true" outlineLevel="0" collapsed="false">
      <c r="A299" s="15" t="s">
        <v>435</v>
      </c>
      <c r="B299" s="16" t="n">
        <v>45532</v>
      </c>
      <c r="C299" s="15" t="s">
        <v>38</v>
      </c>
      <c r="D299" s="15" t="s">
        <v>92</v>
      </c>
      <c r="E299" s="15" t="s">
        <v>93</v>
      </c>
      <c r="F299" s="15" t="s">
        <v>68</v>
      </c>
      <c r="G299" s="15" t="s">
        <v>52</v>
      </c>
      <c r="H299" s="15" t="s">
        <v>43</v>
      </c>
      <c r="I299" s="15" t="s">
        <v>61</v>
      </c>
      <c r="J299" s="15" t="s">
        <v>62</v>
      </c>
      <c r="K299" s="17" t="n">
        <v>412.94</v>
      </c>
      <c r="L299" s="15" t="n">
        <v>20</v>
      </c>
      <c r="M299" s="18" t="n">
        <v>0.1</v>
      </c>
      <c r="N299" s="17" t="n">
        <v>129.46</v>
      </c>
      <c r="O299" s="17" t="n">
        <f aca="false">K299*L299*(1-M299)</f>
        <v>7432.92</v>
      </c>
      <c r="P299" s="17" t="n">
        <f aca="false">N299*L299</f>
        <v>2589.2</v>
      </c>
      <c r="Q299" s="17" t="n">
        <f aca="false">O299-P299</f>
        <v>4843.72</v>
      </c>
      <c r="R299" s="15" t="s">
        <v>46</v>
      </c>
      <c r="S299" s="15" t="s">
        <v>47</v>
      </c>
    </row>
    <row r="300" customFormat="false" ht="15" hidden="false" customHeight="true" outlineLevel="0" collapsed="false">
      <c r="A300" s="11" t="s">
        <v>436</v>
      </c>
      <c r="B300" s="12" t="n">
        <v>45532</v>
      </c>
      <c r="C300" s="11" t="s">
        <v>49</v>
      </c>
      <c r="D300" s="11" t="s">
        <v>97</v>
      </c>
      <c r="E300" s="11" t="s">
        <v>112</v>
      </c>
      <c r="F300" s="11" t="s">
        <v>123</v>
      </c>
      <c r="G300" s="11" t="s">
        <v>126</v>
      </c>
      <c r="H300" s="11" t="s">
        <v>43</v>
      </c>
      <c r="I300" s="11" t="s">
        <v>44</v>
      </c>
      <c r="J300" s="11" t="s">
        <v>106</v>
      </c>
      <c r="K300" s="13" t="n">
        <v>270.92</v>
      </c>
      <c r="L300" s="11" t="n">
        <v>59</v>
      </c>
      <c r="M300" s="14" t="n">
        <v>0.1</v>
      </c>
      <c r="N300" s="13" t="n">
        <v>99.23</v>
      </c>
      <c r="O300" s="13" t="n">
        <f aca="false">K300*L300*(1-M300)</f>
        <v>14385.852</v>
      </c>
      <c r="P300" s="13" t="n">
        <f aca="false">N300*L300</f>
        <v>5854.57</v>
      </c>
      <c r="Q300" s="13" t="n">
        <f aca="false">O300-P300</f>
        <v>8531.282</v>
      </c>
      <c r="R300" s="11" t="s">
        <v>63</v>
      </c>
      <c r="S300" s="11" t="s">
        <v>47</v>
      </c>
    </row>
    <row r="301" customFormat="false" ht="15" hidden="false" customHeight="true" outlineLevel="0" collapsed="false">
      <c r="A301" s="15" t="s">
        <v>437</v>
      </c>
      <c r="B301" s="16" t="n">
        <v>45532</v>
      </c>
      <c r="C301" s="15" t="s">
        <v>65</v>
      </c>
      <c r="D301" s="15" t="s">
        <v>116</v>
      </c>
      <c r="E301" s="15" t="s">
        <v>117</v>
      </c>
      <c r="F301" s="15" t="s">
        <v>109</v>
      </c>
      <c r="G301" s="15" t="s">
        <v>42</v>
      </c>
      <c r="H301" s="15" t="s">
        <v>43</v>
      </c>
      <c r="I301" s="15" t="s">
        <v>44</v>
      </c>
      <c r="J301" s="15" t="s">
        <v>45</v>
      </c>
      <c r="K301" s="17" t="n">
        <v>246.09</v>
      </c>
      <c r="L301" s="15" t="n">
        <v>56</v>
      </c>
      <c r="M301" s="18" t="n">
        <v>0.05</v>
      </c>
      <c r="N301" s="17" t="n">
        <v>86.59</v>
      </c>
      <c r="O301" s="17" t="n">
        <f aca="false">K301*L301*(1-M301)</f>
        <v>13091.988</v>
      </c>
      <c r="P301" s="17" t="n">
        <f aca="false">N301*L301</f>
        <v>4849.04</v>
      </c>
      <c r="Q301" s="17" t="n">
        <f aca="false">O301-P301</f>
        <v>8242.948</v>
      </c>
      <c r="R301" s="15" t="s">
        <v>63</v>
      </c>
      <c r="S301" s="15" t="s">
        <v>47</v>
      </c>
    </row>
    <row r="302" customFormat="false" ht="15" hidden="false" customHeight="true" outlineLevel="0" collapsed="false">
      <c r="A302" s="11" t="s">
        <v>438</v>
      </c>
      <c r="B302" s="12" t="n">
        <v>45534</v>
      </c>
      <c r="C302" s="11" t="s">
        <v>65</v>
      </c>
      <c r="D302" s="11" t="s">
        <v>116</v>
      </c>
      <c r="E302" s="11" t="s">
        <v>117</v>
      </c>
      <c r="F302" s="11" t="s">
        <v>109</v>
      </c>
      <c r="G302" s="11" t="s">
        <v>130</v>
      </c>
      <c r="H302" s="11" t="s">
        <v>78</v>
      </c>
      <c r="I302" s="11" t="s">
        <v>79</v>
      </c>
      <c r="J302" s="11" t="s">
        <v>80</v>
      </c>
      <c r="K302" s="13" t="n">
        <v>3171.28</v>
      </c>
      <c r="L302" s="11" t="n">
        <v>13</v>
      </c>
      <c r="M302" s="14" t="n">
        <v>0.1</v>
      </c>
      <c r="N302" s="13" t="n">
        <v>2609.39</v>
      </c>
      <c r="O302" s="13" t="n">
        <f aca="false">K302*L302*(1-M302)</f>
        <v>37103.976</v>
      </c>
      <c r="P302" s="13" t="n">
        <f aca="false">N302*L302</f>
        <v>33922.07</v>
      </c>
      <c r="Q302" s="13" t="n">
        <f aca="false">O302-P302</f>
        <v>3181.906</v>
      </c>
      <c r="R302" s="11" t="s">
        <v>114</v>
      </c>
      <c r="S302" s="11" t="s">
        <v>47</v>
      </c>
    </row>
    <row r="303" customFormat="false" ht="15" hidden="false" customHeight="true" outlineLevel="0" collapsed="false">
      <c r="A303" s="15" t="s">
        <v>439</v>
      </c>
      <c r="B303" s="16" t="n">
        <v>45534</v>
      </c>
      <c r="C303" s="15" t="s">
        <v>38</v>
      </c>
      <c r="D303" s="15" t="s">
        <v>39</v>
      </c>
      <c r="E303" s="15" t="s">
        <v>40</v>
      </c>
      <c r="F303" s="15" t="s">
        <v>109</v>
      </c>
      <c r="G303" s="15" t="s">
        <v>42</v>
      </c>
      <c r="H303" s="15" t="s">
        <v>78</v>
      </c>
      <c r="I303" s="15" t="s">
        <v>143</v>
      </c>
      <c r="J303" s="15" t="s">
        <v>144</v>
      </c>
      <c r="K303" s="17" t="n">
        <v>1618.64</v>
      </c>
      <c r="L303" s="15" t="n">
        <v>16</v>
      </c>
      <c r="M303" s="18" t="n">
        <v>0.05</v>
      </c>
      <c r="N303" s="17" t="n">
        <v>1284.59</v>
      </c>
      <c r="O303" s="17" t="n">
        <f aca="false">K303*L303*(1-M303)</f>
        <v>24603.328</v>
      </c>
      <c r="P303" s="17" t="n">
        <f aca="false">N303*L303</f>
        <v>20553.44</v>
      </c>
      <c r="Q303" s="17" t="n">
        <f aca="false">O303-P303</f>
        <v>4049.888</v>
      </c>
      <c r="R303" s="15" t="s">
        <v>46</v>
      </c>
      <c r="S303" s="15" t="s">
        <v>47</v>
      </c>
    </row>
    <row r="304" customFormat="false" ht="15" hidden="false" customHeight="true" outlineLevel="0" collapsed="false">
      <c r="A304" s="11" t="s">
        <v>440</v>
      </c>
      <c r="B304" s="12" t="n">
        <v>45535</v>
      </c>
      <c r="C304" s="11" t="s">
        <v>38</v>
      </c>
      <c r="D304" s="11" t="s">
        <v>92</v>
      </c>
      <c r="E304" s="11" t="s">
        <v>93</v>
      </c>
      <c r="F304" s="11" t="s">
        <v>123</v>
      </c>
      <c r="G304" s="11" t="s">
        <v>126</v>
      </c>
      <c r="H304" s="11" t="s">
        <v>84</v>
      </c>
      <c r="I304" s="11" t="s">
        <v>85</v>
      </c>
      <c r="J304" s="11" t="s">
        <v>90</v>
      </c>
      <c r="K304" s="13" t="n">
        <v>789.04</v>
      </c>
      <c r="L304" s="11" t="n">
        <v>7</v>
      </c>
      <c r="M304" s="14" t="n">
        <v>0</v>
      </c>
      <c r="N304" s="13" t="n">
        <v>566.15</v>
      </c>
      <c r="O304" s="13" t="n">
        <f aca="false">K304*L304*(1-M304)</f>
        <v>5523.28</v>
      </c>
      <c r="P304" s="13" t="n">
        <f aca="false">N304*L304</f>
        <v>3963.05</v>
      </c>
      <c r="Q304" s="13" t="n">
        <f aca="false">O304-P304</f>
        <v>1560.23</v>
      </c>
      <c r="R304" s="11" t="s">
        <v>71</v>
      </c>
      <c r="S304" s="11" t="s">
        <v>47</v>
      </c>
    </row>
    <row r="305" customFormat="false" ht="15" hidden="false" customHeight="true" outlineLevel="0" collapsed="false">
      <c r="A305" s="15" t="s">
        <v>441</v>
      </c>
      <c r="B305" s="16" t="n">
        <v>45535</v>
      </c>
      <c r="C305" s="15" t="s">
        <v>65</v>
      </c>
      <c r="D305" s="15" t="s">
        <v>82</v>
      </c>
      <c r="E305" s="15" t="s">
        <v>83</v>
      </c>
      <c r="F305" s="15" t="s">
        <v>99</v>
      </c>
      <c r="G305" s="15" t="s">
        <v>52</v>
      </c>
      <c r="H305" s="15" t="s">
        <v>53</v>
      </c>
      <c r="I305" s="15" t="s">
        <v>69</v>
      </c>
      <c r="J305" s="15" t="s">
        <v>128</v>
      </c>
      <c r="K305" s="17" t="n">
        <v>14.27</v>
      </c>
      <c r="L305" s="15" t="n">
        <v>32</v>
      </c>
      <c r="M305" s="18" t="n">
        <v>0</v>
      </c>
      <c r="N305" s="17" t="n">
        <v>9.45</v>
      </c>
      <c r="O305" s="17" t="n">
        <f aca="false">K305*L305*(1-M305)</f>
        <v>456.64</v>
      </c>
      <c r="P305" s="17" t="n">
        <f aca="false">N305*L305</f>
        <v>302.4</v>
      </c>
      <c r="Q305" s="17" t="n">
        <f aca="false">O305-P305</f>
        <v>154.24</v>
      </c>
      <c r="R305" s="15" t="s">
        <v>63</v>
      </c>
      <c r="S305" s="15" t="s">
        <v>47</v>
      </c>
    </row>
    <row r="306" customFormat="false" ht="15" hidden="false" customHeight="true" outlineLevel="0" collapsed="false">
      <c r="A306" s="11" t="s">
        <v>442</v>
      </c>
      <c r="B306" s="12" t="n">
        <v>45536</v>
      </c>
      <c r="C306" s="11" t="s">
        <v>49</v>
      </c>
      <c r="D306" s="11" t="s">
        <v>97</v>
      </c>
      <c r="E306" s="11" t="s">
        <v>98</v>
      </c>
      <c r="F306" s="11" t="s">
        <v>135</v>
      </c>
      <c r="G306" s="11" t="s">
        <v>52</v>
      </c>
      <c r="H306" s="11" t="s">
        <v>78</v>
      </c>
      <c r="I306" s="11" t="s">
        <v>79</v>
      </c>
      <c r="J306" s="11" t="s">
        <v>242</v>
      </c>
      <c r="K306" s="13" t="n">
        <v>3501.66</v>
      </c>
      <c r="L306" s="11" t="n">
        <v>7</v>
      </c>
      <c r="M306" s="14" t="n">
        <v>0.1</v>
      </c>
      <c r="N306" s="13" t="n">
        <v>2999.22</v>
      </c>
      <c r="O306" s="13" t="n">
        <f aca="false">K306*L306*(1-M306)</f>
        <v>22060.458</v>
      </c>
      <c r="P306" s="13" t="n">
        <f aca="false">N306*L306</f>
        <v>20994.54</v>
      </c>
      <c r="Q306" s="13" t="n">
        <f aca="false">O306-P306</f>
        <v>1065.918</v>
      </c>
      <c r="R306" s="11" t="s">
        <v>46</v>
      </c>
      <c r="S306" s="11" t="s">
        <v>47</v>
      </c>
    </row>
    <row r="307" customFormat="false" ht="15" hidden="false" customHeight="true" outlineLevel="0" collapsed="false">
      <c r="A307" s="15" t="s">
        <v>443</v>
      </c>
      <c r="B307" s="16" t="n">
        <v>45536</v>
      </c>
      <c r="C307" s="15" t="s">
        <v>38</v>
      </c>
      <c r="D307" s="15" t="s">
        <v>88</v>
      </c>
      <c r="E307" s="15" t="s">
        <v>89</v>
      </c>
      <c r="F307" s="15" t="s">
        <v>109</v>
      </c>
      <c r="G307" s="15" t="s">
        <v>126</v>
      </c>
      <c r="H307" s="15" t="s">
        <v>84</v>
      </c>
      <c r="I307" s="15" t="s">
        <v>136</v>
      </c>
      <c r="J307" s="15" t="s">
        <v>137</v>
      </c>
      <c r="K307" s="17" t="n">
        <v>335.3</v>
      </c>
      <c r="L307" s="15" t="n">
        <v>30</v>
      </c>
      <c r="M307" s="18" t="n">
        <v>0.15</v>
      </c>
      <c r="N307" s="17" t="n">
        <v>253.93</v>
      </c>
      <c r="O307" s="17" t="n">
        <f aca="false">K307*L307*(1-M307)</f>
        <v>8550.15</v>
      </c>
      <c r="P307" s="17" t="n">
        <f aca="false">N307*L307</f>
        <v>7617.9</v>
      </c>
      <c r="Q307" s="17" t="n">
        <f aca="false">O307-P307</f>
        <v>932.249999999999</v>
      </c>
      <c r="R307" s="15" t="s">
        <v>63</v>
      </c>
      <c r="S307" s="15" t="s">
        <v>187</v>
      </c>
    </row>
    <row r="308" customFormat="false" ht="15" hidden="false" customHeight="true" outlineLevel="0" collapsed="false">
      <c r="A308" s="11" t="s">
        <v>444</v>
      </c>
      <c r="B308" s="12" t="n">
        <v>45536</v>
      </c>
      <c r="C308" s="11" t="s">
        <v>49</v>
      </c>
      <c r="D308" s="11" t="s">
        <v>97</v>
      </c>
      <c r="E308" s="11" t="s">
        <v>98</v>
      </c>
      <c r="F308" s="11" t="s">
        <v>135</v>
      </c>
      <c r="G308" s="11" t="s">
        <v>126</v>
      </c>
      <c r="H308" s="11" t="s">
        <v>78</v>
      </c>
      <c r="I308" s="11" t="s">
        <v>154</v>
      </c>
      <c r="J308" s="11" t="s">
        <v>186</v>
      </c>
      <c r="K308" s="13" t="n">
        <v>764.2</v>
      </c>
      <c r="L308" s="11" t="n">
        <v>8</v>
      </c>
      <c r="M308" s="14" t="n">
        <v>0.1</v>
      </c>
      <c r="N308" s="13" t="n">
        <v>645.35</v>
      </c>
      <c r="O308" s="13" t="n">
        <f aca="false">K308*L308*(1-M308)</f>
        <v>5502.24</v>
      </c>
      <c r="P308" s="13" t="n">
        <f aca="false">N308*L308</f>
        <v>5162.8</v>
      </c>
      <c r="Q308" s="13" t="n">
        <f aca="false">O308-P308</f>
        <v>339.440000000001</v>
      </c>
      <c r="R308" s="11" t="s">
        <v>46</v>
      </c>
      <c r="S308" s="11" t="s">
        <v>47</v>
      </c>
    </row>
    <row r="309" customFormat="false" ht="15" hidden="false" customHeight="true" outlineLevel="0" collapsed="false">
      <c r="A309" s="15" t="s">
        <v>445</v>
      </c>
      <c r="B309" s="16" t="n">
        <v>45538</v>
      </c>
      <c r="C309" s="15" t="s">
        <v>65</v>
      </c>
      <c r="D309" s="15" t="s">
        <v>149</v>
      </c>
      <c r="E309" s="15" t="s">
        <v>150</v>
      </c>
      <c r="F309" s="15" t="s">
        <v>123</v>
      </c>
      <c r="G309" s="15" t="s">
        <v>130</v>
      </c>
      <c r="H309" s="15" t="s">
        <v>78</v>
      </c>
      <c r="I309" s="15" t="s">
        <v>120</v>
      </c>
      <c r="J309" s="15" t="s">
        <v>121</v>
      </c>
      <c r="K309" s="17" t="n">
        <v>311.13</v>
      </c>
      <c r="L309" s="15" t="n">
        <v>25</v>
      </c>
      <c r="M309" s="18" t="n">
        <v>0.1</v>
      </c>
      <c r="N309" s="17" t="n">
        <v>253.43</v>
      </c>
      <c r="O309" s="17" t="n">
        <f aca="false">K309*L309*(1-M309)</f>
        <v>7000.425</v>
      </c>
      <c r="P309" s="17" t="n">
        <f aca="false">N309*L309</f>
        <v>6335.75</v>
      </c>
      <c r="Q309" s="17" t="n">
        <f aca="false">O309-P309</f>
        <v>664.675</v>
      </c>
      <c r="R309" s="15" t="s">
        <v>114</v>
      </c>
      <c r="S309" s="15" t="s">
        <v>47</v>
      </c>
    </row>
    <row r="310" customFormat="false" ht="15" hidden="false" customHeight="true" outlineLevel="0" collapsed="false">
      <c r="A310" s="11" t="s">
        <v>446</v>
      </c>
      <c r="B310" s="12" t="n">
        <v>45538</v>
      </c>
      <c r="C310" s="11" t="s">
        <v>38</v>
      </c>
      <c r="D310" s="11" t="s">
        <v>88</v>
      </c>
      <c r="E310" s="11" t="s">
        <v>89</v>
      </c>
      <c r="F310" s="11" t="s">
        <v>51</v>
      </c>
      <c r="G310" s="11" t="s">
        <v>77</v>
      </c>
      <c r="H310" s="11" t="s">
        <v>84</v>
      </c>
      <c r="I310" s="11" t="s">
        <v>136</v>
      </c>
      <c r="J310" s="11" t="s">
        <v>137</v>
      </c>
      <c r="K310" s="13" t="n">
        <v>376.1</v>
      </c>
      <c r="L310" s="11" t="n">
        <v>15</v>
      </c>
      <c r="M310" s="14" t="n">
        <v>0.1</v>
      </c>
      <c r="N310" s="13" t="n">
        <v>296.65</v>
      </c>
      <c r="O310" s="13" t="n">
        <f aca="false">K310*L310*(1-M310)</f>
        <v>5077.35</v>
      </c>
      <c r="P310" s="13" t="n">
        <f aca="false">N310*L310</f>
        <v>4449.75</v>
      </c>
      <c r="Q310" s="13" t="n">
        <f aca="false">O310-P310</f>
        <v>627.6</v>
      </c>
      <c r="R310" s="11" t="s">
        <v>46</v>
      </c>
      <c r="S310" s="11" t="s">
        <v>47</v>
      </c>
    </row>
    <row r="311" customFormat="false" ht="15" hidden="false" customHeight="true" outlineLevel="0" collapsed="false">
      <c r="A311" s="15" t="s">
        <v>447</v>
      </c>
      <c r="B311" s="16" t="n">
        <v>45539</v>
      </c>
      <c r="C311" s="15" t="s">
        <v>65</v>
      </c>
      <c r="D311" s="15" t="s">
        <v>116</v>
      </c>
      <c r="E311" s="15" t="s">
        <v>117</v>
      </c>
      <c r="F311" s="15" t="s">
        <v>177</v>
      </c>
      <c r="G311" s="15" t="s">
        <v>42</v>
      </c>
      <c r="H311" s="15" t="s">
        <v>84</v>
      </c>
      <c r="I311" s="15" t="s">
        <v>136</v>
      </c>
      <c r="J311" s="15" t="s">
        <v>137</v>
      </c>
      <c r="K311" s="17" t="n">
        <v>311.43</v>
      </c>
      <c r="L311" s="15" t="n">
        <v>2</v>
      </c>
      <c r="M311" s="18" t="n">
        <v>0.1</v>
      </c>
      <c r="N311" s="17" t="n">
        <v>218.37</v>
      </c>
      <c r="O311" s="17" t="n">
        <f aca="false">K311*L311*(1-M311)</f>
        <v>560.574</v>
      </c>
      <c r="P311" s="17" t="n">
        <f aca="false">N311*L311</f>
        <v>436.74</v>
      </c>
      <c r="Q311" s="17" t="n">
        <f aca="false">O311-P311</f>
        <v>123.834</v>
      </c>
      <c r="R311" s="15" t="s">
        <v>46</v>
      </c>
      <c r="S311" s="15" t="s">
        <v>47</v>
      </c>
    </row>
    <row r="312" customFormat="false" ht="15" hidden="false" customHeight="true" outlineLevel="0" collapsed="false">
      <c r="A312" s="11" t="s">
        <v>448</v>
      </c>
      <c r="B312" s="12" t="n">
        <v>45540</v>
      </c>
      <c r="C312" s="11" t="s">
        <v>74</v>
      </c>
      <c r="D312" s="11" t="s">
        <v>171</v>
      </c>
      <c r="E312" s="11" t="s">
        <v>172</v>
      </c>
      <c r="F312" s="11" t="s">
        <v>135</v>
      </c>
      <c r="G312" s="11" t="s">
        <v>52</v>
      </c>
      <c r="H312" s="11" t="s">
        <v>78</v>
      </c>
      <c r="I312" s="11" t="s">
        <v>143</v>
      </c>
      <c r="J312" s="11" t="s">
        <v>144</v>
      </c>
      <c r="K312" s="13" t="n">
        <v>1583.35</v>
      </c>
      <c r="L312" s="11" t="n">
        <v>14</v>
      </c>
      <c r="M312" s="14" t="n">
        <v>0.05</v>
      </c>
      <c r="N312" s="13" t="n">
        <v>1312.47</v>
      </c>
      <c r="O312" s="13" t="n">
        <f aca="false">K312*L312*(1-M312)</f>
        <v>21058.555</v>
      </c>
      <c r="P312" s="13" t="n">
        <f aca="false">N312*L312</f>
        <v>18374.58</v>
      </c>
      <c r="Q312" s="13" t="n">
        <f aca="false">O312-P312</f>
        <v>2683.975</v>
      </c>
      <c r="R312" s="11" t="s">
        <v>63</v>
      </c>
      <c r="S312" s="11" t="s">
        <v>72</v>
      </c>
    </row>
    <row r="313" customFormat="false" ht="15" hidden="false" customHeight="true" outlineLevel="0" collapsed="false">
      <c r="A313" s="15" t="s">
        <v>449</v>
      </c>
      <c r="B313" s="16" t="n">
        <v>45540</v>
      </c>
      <c r="C313" s="15" t="s">
        <v>49</v>
      </c>
      <c r="D313" s="15" t="s">
        <v>152</v>
      </c>
      <c r="E313" s="15" t="s">
        <v>152</v>
      </c>
      <c r="F313" s="15" t="s">
        <v>118</v>
      </c>
      <c r="G313" s="15" t="s">
        <v>52</v>
      </c>
      <c r="H313" s="15" t="s">
        <v>84</v>
      </c>
      <c r="I313" s="15" t="s">
        <v>136</v>
      </c>
      <c r="J313" s="15" t="s">
        <v>247</v>
      </c>
      <c r="K313" s="17" t="n">
        <v>784.94</v>
      </c>
      <c r="L313" s="15" t="n">
        <v>22</v>
      </c>
      <c r="M313" s="18" t="n">
        <v>0.05</v>
      </c>
      <c r="N313" s="17" t="n">
        <v>638.22</v>
      </c>
      <c r="O313" s="17" t="n">
        <f aca="false">K313*L313*(1-M313)</f>
        <v>16405.246</v>
      </c>
      <c r="P313" s="17" t="n">
        <f aca="false">N313*L313</f>
        <v>14040.84</v>
      </c>
      <c r="Q313" s="17" t="n">
        <f aca="false">O313-P313</f>
        <v>2364.406</v>
      </c>
      <c r="R313" s="15" t="s">
        <v>71</v>
      </c>
      <c r="S313" s="15" t="s">
        <v>47</v>
      </c>
    </row>
    <row r="314" customFormat="false" ht="15" hidden="false" customHeight="true" outlineLevel="0" collapsed="false">
      <c r="A314" s="11" t="s">
        <v>450</v>
      </c>
      <c r="B314" s="12" t="n">
        <v>45540</v>
      </c>
      <c r="C314" s="11" t="s">
        <v>49</v>
      </c>
      <c r="D314" s="11" t="s">
        <v>152</v>
      </c>
      <c r="E314" s="11" t="s">
        <v>152</v>
      </c>
      <c r="F314" s="11" t="s">
        <v>109</v>
      </c>
      <c r="G314" s="11" t="s">
        <v>77</v>
      </c>
      <c r="H314" s="11" t="s">
        <v>78</v>
      </c>
      <c r="I314" s="11" t="s">
        <v>154</v>
      </c>
      <c r="J314" s="11" t="s">
        <v>186</v>
      </c>
      <c r="K314" s="13" t="n">
        <v>642.94</v>
      </c>
      <c r="L314" s="11" t="n">
        <v>9</v>
      </c>
      <c r="M314" s="14" t="n">
        <v>0</v>
      </c>
      <c r="N314" s="13" t="n">
        <v>522.14</v>
      </c>
      <c r="O314" s="13" t="n">
        <f aca="false">K314*L314*(1-M314)</f>
        <v>5786.46</v>
      </c>
      <c r="P314" s="13" t="n">
        <f aca="false">N314*L314</f>
        <v>4699.26</v>
      </c>
      <c r="Q314" s="13" t="n">
        <f aca="false">O314-P314</f>
        <v>1087.2</v>
      </c>
      <c r="R314" s="11" t="s">
        <v>114</v>
      </c>
      <c r="S314" s="11" t="s">
        <v>47</v>
      </c>
    </row>
    <row r="315" customFormat="false" ht="15" hidden="false" customHeight="true" outlineLevel="0" collapsed="false">
      <c r="A315" s="15" t="s">
        <v>451</v>
      </c>
      <c r="B315" s="16" t="n">
        <v>45541</v>
      </c>
      <c r="C315" s="15" t="s">
        <v>49</v>
      </c>
      <c r="D315" s="15" t="s">
        <v>97</v>
      </c>
      <c r="E315" s="15" t="s">
        <v>112</v>
      </c>
      <c r="F315" s="15" t="s">
        <v>118</v>
      </c>
      <c r="G315" s="15" t="s">
        <v>42</v>
      </c>
      <c r="H315" s="15" t="s">
        <v>43</v>
      </c>
      <c r="I315" s="15" t="s">
        <v>44</v>
      </c>
      <c r="J315" s="15" t="s">
        <v>45</v>
      </c>
      <c r="K315" s="17" t="n">
        <v>274.54</v>
      </c>
      <c r="L315" s="15" t="n">
        <v>55</v>
      </c>
      <c r="M315" s="18" t="n">
        <v>0</v>
      </c>
      <c r="N315" s="17" t="n">
        <v>105.4</v>
      </c>
      <c r="O315" s="17" t="n">
        <f aca="false">K315*L315*(1-M315)</f>
        <v>15099.7</v>
      </c>
      <c r="P315" s="17" t="n">
        <f aca="false">N315*L315</f>
        <v>5797</v>
      </c>
      <c r="Q315" s="17" t="n">
        <f aca="false">O315-P315</f>
        <v>9302.7</v>
      </c>
      <c r="R315" s="15" t="s">
        <v>46</v>
      </c>
      <c r="S315" s="15" t="s">
        <v>47</v>
      </c>
    </row>
    <row r="316" customFormat="false" ht="15" hidden="false" customHeight="true" outlineLevel="0" collapsed="false">
      <c r="A316" s="11" t="s">
        <v>452</v>
      </c>
      <c r="B316" s="12" t="n">
        <v>45541</v>
      </c>
      <c r="C316" s="11" t="s">
        <v>49</v>
      </c>
      <c r="D316" s="11" t="s">
        <v>97</v>
      </c>
      <c r="E316" s="11" t="s">
        <v>98</v>
      </c>
      <c r="F316" s="11" t="s">
        <v>60</v>
      </c>
      <c r="G316" s="11" t="s">
        <v>77</v>
      </c>
      <c r="H316" s="11" t="s">
        <v>78</v>
      </c>
      <c r="I316" s="11" t="s">
        <v>143</v>
      </c>
      <c r="J316" s="11" t="s">
        <v>158</v>
      </c>
      <c r="K316" s="13" t="n">
        <v>758.93</v>
      </c>
      <c r="L316" s="11" t="n">
        <v>25</v>
      </c>
      <c r="M316" s="14" t="n">
        <v>0</v>
      </c>
      <c r="N316" s="13" t="n">
        <v>627.03</v>
      </c>
      <c r="O316" s="13" t="n">
        <f aca="false">K316*L316*(1-M316)</f>
        <v>18973.25</v>
      </c>
      <c r="P316" s="13" t="n">
        <f aca="false">N316*L316</f>
        <v>15675.75</v>
      </c>
      <c r="Q316" s="13" t="n">
        <f aca="false">O316-P316</f>
        <v>3297.5</v>
      </c>
      <c r="R316" s="11" t="s">
        <v>63</v>
      </c>
      <c r="S316" s="11" t="s">
        <v>47</v>
      </c>
    </row>
    <row r="317" customFormat="false" ht="15" hidden="false" customHeight="true" outlineLevel="0" collapsed="false">
      <c r="A317" s="15" t="s">
        <v>453</v>
      </c>
      <c r="B317" s="16" t="n">
        <v>45542</v>
      </c>
      <c r="C317" s="15" t="s">
        <v>38</v>
      </c>
      <c r="D317" s="15" t="s">
        <v>88</v>
      </c>
      <c r="E317" s="15" t="s">
        <v>89</v>
      </c>
      <c r="F317" s="15" t="s">
        <v>118</v>
      </c>
      <c r="G317" s="15" t="s">
        <v>42</v>
      </c>
      <c r="H317" s="15" t="s">
        <v>43</v>
      </c>
      <c r="I317" s="15" t="s">
        <v>44</v>
      </c>
      <c r="J317" s="15" t="s">
        <v>45</v>
      </c>
      <c r="K317" s="17" t="n">
        <v>315.49</v>
      </c>
      <c r="L317" s="15" t="n">
        <v>2</v>
      </c>
      <c r="M317" s="18" t="n">
        <v>0</v>
      </c>
      <c r="N317" s="17" t="n">
        <v>79.92</v>
      </c>
      <c r="O317" s="17" t="n">
        <f aca="false">K317*L317*(1-M317)</f>
        <v>630.98</v>
      </c>
      <c r="P317" s="17" t="n">
        <f aca="false">N317*L317</f>
        <v>159.84</v>
      </c>
      <c r="Q317" s="17" t="n">
        <f aca="false">O317-P317</f>
        <v>471.14</v>
      </c>
      <c r="R317" s="15" t="s">
        <v>114</v>
      </c>
      <c r="S317" s="15" t="s">
        <v>47</v>
      </c>
    </row>
    <row r="318" customFormat="false" ht="15" hidden="false" customHeight="true" outlineLevel="0" collapsed="false">
      <c r="A318" s="11" t="s">
        <v>454</v>
      </c>
      <c r="B318" s="12" t="n">
        <v>45543</v>
      </c>
      <c r="C318" s="11" t="s">
        <v>49</v>
      </c>
      <c r="D318" s="11" t="s">
        <v>97</v>
      </c>
      <c r="E318" s="11" t="s">
        <v>112</v>
      </c>
      <c r="F318" s="11" t="s">
        <v>135</v>
      </c>
      <c r="G318" s="11" t="s">
        <v>52</v>
      </c>
      <c r="H318" s="11" t="s">
        <v>78</v>
      </c>
      <c r="I318" s="11" t="s">
        <v>143</v>
      </c>
      <c r="J318" s="11" t="s">
        <v>144</v>
      </c>
      <c r="K318" s="13" t="n">
        <v>1297.82</v>
      </c>
      <c r="L318" s="11" t="n">
        <v>7</v>
      </c>
      <c r="M318" s="14" t="n">
        <v>0.05</v>
      </c>
      <c r="N318" s="13" t="n">
        <v>1021.51</v>
      </c>
      <c r="O318" s="13" t="n">
        <f aca="false">K318*L318*(1-M318)</f>
        <v>8630.503</v>
      </c>
      <c r="P318" s="13" t="n">
        <f aca="false">N318*L318</f>
        <v>7150.57</v>
      </c>
      <c r="Q318" s="13" t="n">
        <f aca="false">O318-P318</f>
        <v>1479.933</v>
      </c>
      <c r="R318" s="11" t="s">
        <v>63</v>
      </c>
      <c r="S318" s="11" t="s">
        <v>47</v>
      </c>
    </row>
    <row r="319" customFormat="false" ht="15" hidden="false" customHeight="true" outlineLevel="0" collapsed="false">
      <c r="A319" s="15" t="s">
        <v>455</v>
      </c>
      <c r="B319" s="16" t="n">
        <v>45543</v>
      </c>
      <c r="C319" s="15" t="s">
        <v>49</v>
      </c>
      <c r="D319" s="15" t="s">
        <v>97</v>
      </c>
      <c r="E319" s="15" t="s">
        <v>112</v>
      </c>
      <c r="F319" s="15" t="s">
        <v>51</v>
      </c>
      <c r="G319" s="15" t="s">
        <v>42</v>
      </c>
      <c r="H319" s="15" t="s">
        <v>78</v>
      </c>
      <c r="I319" s="15" t="s">
        <v>79</v>
      </c>
      <c r="J319" s="15" t="s">
        <v>216</v>
      </c>
      <c r="K319" s="17" t="n">
        <v>3182.37</v>
      </c>
      <c r="L319" s="15" t="n">
        <v>9</v>
      </c>
      <c r="M319" s="18" t="n">
        <v>0.05</v>
      </c>
      <c r="N319" s="17" t="n">
        <v>2703.38</v>
      </c>
      <c r="O319" s="17" t="n">
        <f aca="false">K319*L319*(1-M319)</f>
        <v>27209.2635</v>
      </c>
      <c r="P319" s="17" t="n">
        <f aca="false">N319*L319</f>
        <v>24330.42</v>
      </c>
      <c r="Q319" s="17" t="n">
        <f aca="false">O319-P319</f>
        <v>2878.8435</v>
      </c>
      <c r="R319" s="15" t="s">
        <v>46</v>
      </c>
      <c r="S319" s="15" t="s">
        <v>187</v>
      </c>
    </row>
    <row r="320" customFormat="false" ht="15" hidden="false" customHeight="true" outlineLevel="0" collapsed="false">
      <c r="A320" s="11" t="s">
        <v>456</v>
      </c>
      <c r="B320" s="12" t="n">
        <v>45544</v>
      </c>
      <c r="C320" s="11" t="s">
        <v>74</v>
      </c>
      <c r="D320" s="11" t="s">
        <v>75</v>
      </c>
      <c r="E320" s="11" t="s">
        <v>76</v>
      </c>
      <c r="F320" s="11" t="s">
        <v>60</v>
      </c>
      <c r="G320" s="11" t="s">
        <v>42</v>
      </c>
      <c r="H320" s="11" t="s">
        <v>78</v>
      </c>
      <c r="I320" s="11" t="s">
        <v>79</v>
      </c>
      <c r="J320" s="11" t="s">
        <v>80</v>
      </c>
      <c r="K320" s="13" t="n">
        <v>3704.82</v>
      </c>
      <c r="L320" s="11" t="n">
        <v>15</v>
      </c>
      <c r="M320" s="14" t="n">
        <v>0.05</v>
      </c>
      <c r="N320" s="13" t="n">
        <v>3171.42</v>
      </c>
      <c r="O320" s="13" t="n">
        <f aca="false">K320*L320*(1-M320)</f>
        <v>52793.685</v>
      </c>
      <c r="P320" s="13" t="n">
        <f aca="false">N320*L320</f>
        <v>47571.3</v>
      </c>
      <c r="Q320" s="13" t="n">
        <f aca="false">O320-P320</f>
        <v>5222.385</v>
      </c>
      <c r="R320" s="11" t="s">
        <v>114</v>
      </c>
      <c r="S320" s="11" t="s">
        <v>47</v>
      </c>
    </row>
    <row r="321" customFormat="false" ht="15" hidden="false" customHeight="true" outlineLevel="0" collapsed="false">
      <c r="A321" s="15" t="s">
        <v>457</v>
      </c>
      <c r="B321" s="16" t="n">
        <v>45545</v>
      </c>
      <c r="C321" s="15" t="s">
        <v>38</v>
      </c>
      <c r="D321" s="15" t="s">
        <v>92</v>
      </c>
      <c r="E321" s="15" t="s">
        <v>93</v>
      </c>
      <c r="F321" s="15" t="s">
        <v>51</v>
      </c>
      <c r="G321" s="15" t="s">
        <v>42</v>
      </c>
      <c r="H321" s="15" t="s">
        <v>78</v>
      </c>
      <c r="I321" s="15" t="s">
        <v>120</v>
      </c>
      <c r="J321" s="15" t="s">
        <v>121</v>
      </c>
      <c r="K321" s="17" t="n">
        <v>288.48</v>
      </c>
      <c r="L321" s="15" t="n">
        <v>14</v>
      </c>
      <c r="M321" s="18" t="n">
        <v>0</v>
      </c>
      <c r="N321" s="17" t="n">
        <v>227.89</v>
      </c>
      <c r="O321" s="17" t="n">
        <f aca="false">K321*L321*(1-M321)</f>
        <v>4038.72</v>
      </c>
      <c r="P321" s="17" t="n">
        <f aca="false">N321*L321</f>
        <v>3190.46</v>
      </c>
      <c r="Q321" s="17" t="n">
        <f aca="false">O321-P321</f>
        <v>848.26</v>
      </c>
      <c r="R321" s="15" t="s">
        <v>114</v>
      </c>
      <c r="S321" s="15" t="s">
        <v>72</v>
      </c>
    </row>
    <row r="322" customFormat="false" ht="15" hidden="false" customHeight="true" outlineLevel="0" collapsed="false">
      <c r="A322" s="11" t="s">
        <v>458</v>
      </c>
      <c r="B322" s="12" t="n">
        <v>45545</v>
      </c>
      <c r="C322" s="11" t="s">
        <v>49</v>
      </c>
      <c r="D322" s="11" t="s">
        <v>152</v>
      </c>
      <c r="E322" s="11" t="s">
        <v>152</v>
      </c>
      <c r="F322" s="11" t="s">
        <v>68</v>
      </c>
      <c r="G322" s="11" t="s">
        <v>42</v>
      </c>
      <c r="H322" s="11" t="s">
        <v>43</v>
      </c>
      <c r="I322" s="11" t="s">
        <v>61</v>
      </c>
      <c r="J322" s="11" t="s">
        <v>62</v>
      </c>
      <c r="K322" s="13" t="n">
        <v>437.18</v>
      </c>
      <c r="L322" s="11" t="n">
        <v>20</v>
      </c>
      <c r="M322" s="14" t="n">
        <v>0.15</v>
      </c>
      <c r="N322" s="13" t="n">
        <v>142.25</v>
      </c>
      <c r="O322" s="13" t="n">
        <f aca="false">K322*L322*(1-M322)</f>
        <v>7432.06</v>
      </c>
      <c r="P322" s="13" t="n">
        <f aca="false">N322*L322</f>
        <v>2845</v>
      </c>
      <c r="Q322" s="13" t="n">
        <f aca="false">O322-P322</f>
        <v>4587.06</v>
      </c>
      <c r="R322" s="11" t="s">
        <v>114</v>
      </c>
      <c r="S322" s="11" t="s">
        <v>47</v>
      </c>
    </row>
    <row r="323" customFormat="false" ht="15" hidden="false" customHeight="true" outlineLevel="0" collapsed="false">
      <c r="A323" s="15" t="s">
        <v>459</v>
      </c>
      <c r="B323" s="16" t="n">
        <v>45545</v>
      </c>
      <c r="C323" s="15" t="s">
        <v>74</v>
      </c>
      <c r="D323" s="15" t="s">
        <v>171</v>
      </c>
      <c r="E323" s="15" t="s">
        <v>172</v>
      </c>
      <c r="F323" s="15" t="s">
        <v>99</v>
      </c>
      <c r="G323" s="15" t="s">
        <v>52</v>
      </c>
      <c r="H323" s="15" t="s">
        <v>78</v>
      </c>
      <c r="I323" s="15" t="s">
        <v>120</v>
      </c>
      <c r="J323" s="15" t="s">
        <v>121</v>
      </c>
      <c r="K323" s="17" t="n">
        <v>349.46</v>
      </c>
      <c r="L323" s="15" t="n">
        <v>13</v>
      </c>
      <c r="M323" s="18" t="n">
        <v>0.05</v>
      </c>
      <c r="N323" s="17" t="n">
        <v>252.54</v>
      </c>
      <c r="O323" s="17" t="n">
        <f aca="false">K323*L323*(1-M323)</f>
        <v>4315.831</v>
      </c>
      <c r="P323" s="17" t="n">
        <f aca="false">N323*L323</f>
        <v>3283.02</v>
      </c>
      <c r="Q323" s="17" t="n">
        <f aca="false">O323-P323</f>
        <v>1032.811</v>
      </c>
      <c r="R323" s="15" t="s">
        <v>63</v>
      </c>
      <c r="S323" s="15" t="s">
        <v>72</v>
      </c>
    </row>
    <row r="324" customFormat="false" ht="15" hidden="false" customHeight="true" outlineLevel="0" collapsed="false">
      <c r="A324" s="11" t="s">
        <v>460</v>
      </c>
      <c r="B324" s="12" t="n">
        <v>45545</v>
      </c>
      <c r="C324" s="11" t="s">
        <v>49</v>
      </c>
      <c r="D324" s="11" t="s">
        <v>97</v>
      </c>
      <c r="E324" s="11" t="s">
        <v>108</v>
      </c>
      <c r="F324" s="11" t="s">
        <v>177</v>
      </c>
      <c r="G324" s="11" t="s">
        <v>42</v>
      </c>
      <c r="H324" s="11" t="s">
        <v>78</v>
      </c>
      <c r="I324" s="11" t="s">
        <v>79</v>
      </c>
      <c r="J324" s="11" t="s">
        <v>80</v>
      </c>
      <c r="K324" s="13" t="n">
        <v>4072.94</v>
      </c>
      <c r="L324" s="11" t="n">
        <v>13</v>
      </c>
      <c r="M324" s="14" t="n">
        <v>0</v>
      </c>
      <c r="N324" s="13" t="n">
        <v>3541.46</v>
      </c>
      <c r="O324" s="13" t="n">
        <f aca="false">K324*L324*(1-M324)</f>
        <v>52948.22</v>
      </c>
      <c r="P324" s="13" t="n">
        <f aca="false">N324*L324</f>
        <v>46038.98</v>
      </c>
      <c r="Q324" s="13" t="n">
        <f aca="false">O324-P324</f>
        <v>6909.24</v>
      </c>
      <c r="R324" s="11" t="s">
        <v>46</v>
      </c>
      <c r="S324" s="11" t="s">
        <v>47</v>
      </c>
    </row>
    <row r="325" customFormat="false" ht="15" hidden="false" customHeight="true" outlineLevel="0" collapsed="false">
      <c r="A325" s="15" t="s">
        <v>461</v>
      </c>
      <c r="B325" s="16" t="n">
        <v>45546</v>
      </c>
      <c r="C325" s="15" t="s">
        <v>65</v>
      </c>
      <c r="D325" s="15" t="s">
        <v>116</v>
      </c>
      <c r="E325" s="15" t="s">
        <v>117</v>
      </c>
      <c r="F325" s="15" t="s">
        <v>109</v>
      </c>
      <c r="G325" s="15" t="s">
        <v>52</v>
      </c>
      <c r="H325" s="15" t="s">
        <v>53</v>
      </c>
      <c r="I325" s="15" t="s">
        <v>69</v>
      </c>
      <c r="J325" s="15" t="s">
        <v>70</v>
      </c>
      <c r="K325" s="17" t="n">
        <v>31.7</v>
      </c>
      <c r="L325" s="15" t="n">
        <v>148</v>
      </c>
      <c r="M325" s="18" t="n">
        <v>0</v>
      </c>
      <c r="N325" s="17" t="n">
        <v>22.13</v>
      </c>
      <c r="O325" s="17" t="n">
        <f aca="false">K325*L325*(1-M325)</f>
        <v>4691.6</v>
      </c>
      <c r="P325" s="17" t="n">
        <f aca="false">N325*L325</f>
        <v>3275.24</v>
      </c>
      <c r="Q325" s="17" t="n">
        <f aca="false">O325-P325</f>
        <v>1416.36</v>
      </c>
      <c r="R325" s="15" t="s">
        <v>63</v>
      </c>
      <c r="S325" s="15" t="s">
        <v>47</v>
      </c>
    </row>
    <row r="326" customFormat="false" ht="15" hidden="false" customHeight="true" outlineLevel="0" collapsed="false">
      <c r="A326" s="11" t="s">
        <v>462</v>
      </c>
      <c r="B326" s="12" t="n">
        <v>45546</v>
      </c>
      <c r="C326" s="11" t="s">
        <v>74</v>
      </c>
      <c r="D326" s="11" t="s">
        <v>75</v>
      </c>
      <c r="E326" s="11" t="s">
        <v>76</v>
      </c>
      <c r="F326" s="11" t="s">
        <v>60</v>
      </c>
      <c r="G326" s="11" t="s">
        <v>126</v>
      </c>
      <c r="H326" s="11" t="s">
        <v>78</v>
      </c>
      <c r="I326" s="11" t="s">
        <v>154</v>
      </c>
      <c r="J326" s="11" t="s">
        <v>155</v>
      </c>
      <c r="K326" s="13" t="n">
        <v>761.7</v>
      </c>
      <c r="L326" s="11" t="n">
        <v>18</v>
      </c>
      <c r="M326" s="14" t="n">
        <v>0.05</v>
      </c>
      <c r="N326" s="13" t="n">
        <v>606.37</v>
      </c>
      <c r="O326" s="13" t="n">
        <f aca="false">K326*L326*(1-M326)</f>
        <v>13025.07</v>
      </c>
      <c r="P326" s="13" t="n">
        <f aca="false">N326*L326</f>
        <v>10914.66</v>
      </c>
      <c r="Q326" s="13" t="n">
        <f aca="false">O326-P326</f>
        <v>2110.41</v>
      </c>
      <c r="R326" s="11" t="s">
        <v>63</v>
      </c>
      <c r="S326" s="11" t="s">
        <v>47</v>
      </c>
    </row>
    <row r="327" customFormat="false" ht="15" hidden="false" customHeight="true" outlineLevel="0" collapsed="false">
      <c r="A327" s="15" t="s">
        <v>463</v>
      </c>
      <c r="B327" s="16" t="n">
        <v>45546</v>
      </c>
      <c r="C327" s="15" t="s">
        <v>65</v>
      </c>
      <c r="D327" s="15" t="s">
        <v>66</v>
      </c>
      <c r="E327" s="15" t="s">
        <v>67</v>
      </c>
      <c r="F327" s="15" t="s">
        <v>177</v>
      </c>
      <c r="G327" s="15" t="s">
        <v>42</v>
      </c>
      <c r="H327" s="15" t="s">
        <v>78</v>
      </c>
      <c r="I327" s="15" t="s">
        <v>154</v>
      </c>
      <c r="J327" s="15" t="s">
        <v>186</v>
      </c>
      <c r="K327" s="17" t="n">
        <v>936.32</v>
      </c>
      <c r="L327" s="15" t="n">
        <v>2</v>
      </c>
      <c r="M327" s="18" t="n">
        <v>0.2</v>
      </c>
      <c r="N327" s="17" t="n">
        <v>785.45</v>
      </c>
      <c r="O327" s="17" t="n">
        <f aca="false">K327*L327*(1-M327)</f>
        <v>1498.112</v>
      </c>
      <c r="P327" s="17" t="n">
        <f aca="false">N327*L327</f>
        <v>1570.9</v>
      </c>
      <c r="Q327" s="17" t="n">
        <f aca="false">O327-P327</f>
        <v>-72.788</v>
      </c>
      <c r="R327" s="15" t="s">
        <v>114</v>
      </c>
      <c r="S327" s="15" t="s">
        <v>47</v>
      </c>
    </row>
    <row r="328" customFormat="false" ht="15" hidden="false" customHeight="true" outlineLevel="0" collapsed="false">
      <c r="A328" s="11" t="s">
        <v>464</v>
      </c>
      <c r="B328" s="12" t="n">
        <v>45547</v>
      </c>
      <c r="C328" s="11" t="s">
        <v>49</v>
      </c>
      <c r="D328" s="11" t="s">
        <v>97</v>
      </c>
      <c r="E328" s="11" t="s">
        <v>108</v>
      </c>
      <c r="F328" s="11" t="s">
        <v>68</v>
      </c>
      <c r="G328" s="11" t="s">
        <v>130</v>
      </c>
      <c r="H328" s="11" t="s">
        <v>84</v>
      </c>
      <c r="I328" s="11" t="s">
        <v>85</v>
      </c>
      <c r="J328" s="11" t="s">
        <v>86</v>
      </c>
      <c r="K328" s="13" t="n">
        <v>493.25</v>
      </c>
      <c r="L328" s="11" t="n">
        <v>18</v>
      </c>
      <c r="M328" s="14" t="n">
        <v>0.2</v>
      </c>
      <c r="N328" s="13" t="n">
        <v>387.1</v>
      </c>
      <c r="O328" s="13" t="n">
        <f aca="false">K328*L328*(1-M328)</f>
        <v>7102.8</v>
      </c>
      <c r="P328" s="13" t="n">
        <f aca="false">N328*L328</f>
        <v>6967.8</v>
      </c>
      <c r="Q328" s="13" t="n">
        <f aca="false">O328-P328</f>
        <v>135</v>
      </c>
      <c r="R328" s="11" t="s">
        <v>46</v>
      </c>
      <c r="S328" s="11" t="s">
        <v>47</v>
      </c>
    </row>
    <row r="329" customFormat="false" ht="15" hidden="false" customHeight="true" outlineLevel="0" collapsed="false">
      <c r="A329" s="15" t="s">
        <v>465</v>
      </c>
      <c r="B329" s="16" t="n">
        <v>45547</v>
      </c>
      <c r="C329" s="15" t="s">
        <v>49</v>
      </c>
      <c r="D329" s="15" t="s">
        <v>97</v>
      </c>
      <c r="E329" s="15" t="s">
        <v>108</v>
      </c>
      <c r="F329" s="15" t="s">
        <v>68</v>
      </c>
      <c r="G329" s="15" t="s">
        <v>52</v>
      </c>
      <c r="H329" s="15" t="s">
        <v>53</v>
      </c>
      <c r="I329" s="15" t="s">
        <v>69</v>
      </c>
      <c r="J329" s="15" t="s">
        <v>70</v>
      </c>
      <c r="K329" s="17" t="n">
        <v>32.09</v>
      </c>
      <c r="L329" s="15" t="n">
        <v>71</v>
      </c>
      <c r="M329" s="18" t="n">
        <v>0</v>
      </c>
      <c r="N329" s="17" t="n">
        <v>20.81</v>
      </c>
      <c r="O329" s="17" t="n">
        <f aca="false">K329*L329*(1-M329)</f>
        <v>2278.39</v>
      </c>
      <c r="P329" s="17" t="n">
        <f aca="false">N329*L329</f>
        <v>1477.51</v>
      </c>
      <c r="Q329" s="17" t="n">
        <f aca="false">O329-P329</f>
        <v>800.88</v>
      </c>
      <c r="R329" s="15" t="s">
        <v>46</v>
      </c>
      <c r="S329" s="15" t="s">
        <v>47</v>
      </c>
    </row>
    <row r="330" customFormat="false" ht="15" hidden="false" customHeight="true" outlineLevel="0" collapsed="false">
      <c r="A330" s="11" t="s">
        <v>466</v>
      </c>
      <c r="B330" s="12" t="n">
        <v>45547</v>
      </c>
      <c r="C330" s="11" t="s">
        <v>65</v>
      </c>
      <c r="D330" s="11" t="s">
        <v>66</v>
      </c>
      <c r="E330" s="11" t="s">
        <v>67</v>
      </c>
      <c r="F330" s="11" t="s">
        <v>99</v>
      </c>
      <c r="G330" s="11" t="s">
        <v>52</v>
      </c>
      <c r="H330" s="11" t="s">
        <v>53</v>
      </c>
      <c r="I330" s="11" t="s">
        <v>94</v>
      </c>
      <c r="J330" s="11" t="s">
        <v>131</v>
      </c>
      <c r="K330" s="13" t="n">
        <v>36.46</v>
      </c>
      <c r="L330" s="11" t="n">
        <v>41</v>
      </c>
      <c r="M330" s="14" t="n">
        <v>0</v>
      </c>
      <c r="N330" s="13" t="n">
        <v>20.79</v>
      </c>
      <c r="O330" s="13" t="n">
        <f aca="false">K330*L330*(1-M330)</f>
        <v>1494.86</v>
      </c>
      <c r="P330" s="13" t="n">
        <f aca="false">N330*L330</f>
        <v>852.39</v>
      </c>
      <c r="Q330" s="13" t="n">
        <f aca="false">O330-P330</f>
        <v>642.47</v>
      </c>
      <c r="R330" s="11" t="s">
        <v>114</v>
      </c>
      <c r="S330" s="11" t="s">
        <v>47</v>
      </c>
    </row>
    <row r="331" customFormat="false" ht="15" hidden="false" customHeight="true" outlineLevel="0" collapsed="false">
      <c r="A331" s="15" t="s">
        <v>467</v>
      </c>
      <c r="B331" s="16" t="n">
        <v>45549</v>
      </c>
      <c r="C331" s="15" t="s">
        <v>65</v>
      </c>
      <c r="D331" s="15" t="s">
        <v>66</v>
      </c>
      <c r="E331" s="15" t="s">
        <v>67</v>
      </c>
      <c r="F331" s="15" t="s">
        <v>51</v>
      </c>
      <c r="G331" s="15" t="s">
        <v>42</v>
      </c>
      <c r="H331" s="15" t="s">
        <v>53</v>
      </c>
      <c r="I331" s="15" t="s">
        <v>94</v>
      </c>
      <c r="J331" s="15" t="s">
        <v>131</v>
      </c>
      <c r="K331" s="17" t="n">
        <v>30.72</v>
      </c>
      <c r="L331" s="15" t="n">
        <v>73</v>
      </c>
      <c r="M331" s="18" t="n">
        <v>0</v>
      </c>
      <c r="N331" s="17" t="n">
        <v>18.16</v>
      </c>
      <c r="O331" s="17" t="n">
        <f aca="false">K331*L331*(1-M331)</f>
        <v>2242.56</v>
      </c>
      <c r="P331" s="17" t="n">
        <f aca="false">N331*L331</f>
        <v>1325.68</v>
      </c>
      <c r="Q331" s="17" t="n">
        <f aca="false">O331-P331</f>
        <v>916.88</v>
      </c>
      <c r="R331" s="15" t="s">
        <v>63</v>
      </c>
      <c r="S331" s="15" t="s">
        <v>47</v>
      </c>
    </row>
    <row r="332" customFormat="false" ht="15" hidden="false" customHeight="true" outlineLevel="0" collapsed="false">
      <c r="A332" s="11" t="s">
        <v>468</v>
      </c>
      <c r="B332" s="12" t="n">
        <v>45550</v>
      </c>
      <c r="C332" s="11" t="s">
        <v>65</v>
      </c>
      <c r="D332" s="11" t="s">
        <v>66</v>
      </c>
      <c r="E332" s="11" t="s">
        <v>67</v>
      </c>
      <c r="F332" s="11" t="s">
        <v>118</v>
      </c>
      <c r="G332" s="11" t="s">
        <v>42</v>
      </c>
      <c r="H332" s="11" t="s">
        <v>53</v>
      </c>
      <c r="I332" s="11" t="s">
        <v>54</v>
      </c>
      <c r="J332" s="11" t="s">
        <v>55</v>
      </c>
      <c r="K332" s="13" t="n">
        <v>10.19</v>
      </c>
      <c r="L332" s="11" t="n">
        <v>156</v>
      </c>
      <c r="M332" s="14" t="n">
        <v>0.1</v>
      </c>
      <c r="N332" s="13" t="n">
        <v>6.4</v>
      </c>
      <c r="O332" s="13" t="n">
        <f aca="false">K332*L332*(1-M332)</f>
        <v>1430.676</v>
      </c>
      <c r="P332" s="13" t="n">
        <f aca="false">N332*L332</f>
        <v>998.4</v>
      </c>
      <c r="Q332" s="13" t="n">
        <f aca="false">O332-P332</f>
        <v>432.276</v>
      </c>
      <c r="R332" s="11" t="s">
        <v>46</v>
      </c>
      <c r="S332" s="11" t="s">
        <v>47</v>
      </c>
    </row>
    <row r="333" customFormat="false" ht="15" hidden="false" customHeight="true" outlineLevel="0" collapsed="false">
      <c r="A333" s="15" t="s">
        <v>469</v>
      </c>
      <c r="B333" s="16" t="n">
        <v>45551</v>
      </c>
      <c r="C333" s="15" t="s">
        <v>49</v>
      </c>
      <c r="D333" s="15" t="s">
        <v>97</v>
      </c>
      <c r="E333" s="15" t="s">
        <v>108</v>
      </c>
      <c r="F333" s="15" t="s">
        <v>68</v>
      </c>
      <c r="G333" s="15" t="s">
        <v>126</v>
      </c>
      <c r="H333" s="15" t="s">
        <v>43</v>
      </c>
      <c r="I333" s="15" t="s">
        <v>44</v>
      </c>
      <c r="J333" s="15" t="s">
        <v>106</v>
      </c>
      <c r="K333" s="17" t="n">
        <v>299.13</v>
      </c>
      <c r="L333" s="15" t="n">
        <v>23</v>
      </c>
      <c r="M333" s="18" t="n">
        <v>0</v>
      </c>
      <c r="N333" s="17" t="n">
        <v>91.16</v>
      </c>
      <c r="O333" s="17" t="n">
        <f aca="false">K333*L333*(1-M333)</f>
        <v>6879.99</v>
      </c>
      <c r="P333" s="17" t="n">
        <f aca="false">N333*L333</f>
        <v>2096.68</v>
      </c>
      <c r="Q333" s="17" t="n">
        <f aca="false">O333-P333</f>
        <v>4783.31</v>
      </c>
      <c r="R333" s="15" t="s">
        <v>114</v>
      </c>
      <c r="S333" s="15" t="s">
        <v>47</v>
      </c>
    </row>
    <row r="334" customFormat="false" ht="15" hidden="false" customHeight="true" outlineLevel="0" collapsed="false">
      <c r="A334" s="11" t="s">
        <v>470</v>
      </c>
      <c r="B334" s="12" t="n">
        <v>45552</v>
      </c>
      <c r="C334" s="11" t="s">
        <v>65</v>
      </c>
      <c r="D334" s="11" t="s">
        <v>66</v>
      </c>
      <c r="E334" s="11" t="s">
        <v>67</v>
      </c>
      <c r="F334" s="11" t="s">
        <v>99</v>
      </c>
      <c r="G334" s="11" t="s">
        <v>77</v>
      </c>
      <c r="H334" s="11" t="s">
        <v>43</v>
      </c>
      <c r="I334" s="11" t="s">
        <v>44</v>
      </c>
      <c r="J334" s="11" t="s">
        <v>106</v>
      </c>
      <c r="K334" s="13" t="n">
        <v>557.89</v>
      </c>
      <c r="L334" s="11" t="n">
        <v>20</v>
      </c>
      <c r="M334" s="14" t="n">
        <v>0</v>
      </c>
      <c r="N334" s="13" t="n">
        <v>249.57</v>
      </c>
      <c r="O334" s="13" t="n">
        <f aca="false">K334*L334*(1-M334)</f>
        <v>11157.8</v>
      </c>
      <c r="P334" s="13" t="n">
        <f aca="false">N334*L334</f>
        <v>4991.4</v>
      </c>
      <c r="Q334" s="13" t="n">
        <f aca="false">O334-P334</f>
        <v>6166.4</v>
      </c>
      <c r="R334" s="11" t="s">
        <v>46</v>
      </c>
      <c r="S334" s="11" t="s">
        <v>47</v>
      </c>
    </row>
    <row r="335" customFormat="false" ht="15" hidden="false" customHeight="true" outlineLevel="0" collapsed="false">
      <c r="A335" s="15" t="s">
        <v>471</v>
      </c>
      <c r="B335" s="16" t="n">
        <v>45552</v>
      </c>
      <c r="C335" s="15" t="s">
        <v>49</v>
      </c>
      <c r="D335" s="15" t="s">
        <v>50</v>
      </c>
      <c r="E335" s="15" t="s">
        <v>50</v>
      </c>
      <c r="F335" s="15" t="s">
        <v>123</v>
      </c>
      <c r="G335" s="15" t="s">
        <v>77</v>
      </c>
      <c r="H335" s="15" t="s">
        <v>78</v>
      </c>
      <c r="I335" s="15" t="s">
        <v>120</v>
      </c>
      <c r="J335" s="15" t="s">
        <v>121</v>
      </c>
      <c r="K335" s="17" t="n">
        <v>343.86</v>
      </c>
      <c r="L335" s="15" t="n">
        <v>38</v>
      </c>
      <c r="M335" s="18" t="n">
        <v>0.15</v>
      </c>
      <c r="N335" s="17" t="n">
        <v>279.36</v>
      </c>
      <c r="O335" s="17" t="n">
        <f aca="false">K335*L335*(1-M335)</f>
        <v>11106.678</v>
      </c>
      <c r="P335" s="17" t="n">
        <f aca="false">N335*L335</f>
        <v>10615.68</v>
      </c>
      <c r="Q335" s="17" t="n">
        <f aca="false">O335-P335</f>
        <v>490.998</v>
      </c>
      <c r="R335" s="15" t="s">
        <v>46</v>
      </c>
      <c r="S335" s="15" t="s">
        <v>47</v>
      </c>
    </row>
    <row r="336" customFormat="false" ht="15" hidden="false" customHeight="true" outlineLevel="0" collapsed="false">
      <c r="A336" s="11" t="s">
        <v>472</v>
      </c>
      <c r="B336" s="12" t="n">
        <v>45555</v>
      </c>
      <c r="C336" s="11" t="s">
        <v>57</v>
      </c>
      <c r="D336" s="11" t="s">
        <v>103</v>
      </c>
      <c r="E336" s="11" t="s">
        <v>104</v>
      </c>
      <c r="F336" s="11" t="s">
        <v>41</v>
      </c>
      <c r="G336" s="11" t="s">
        <v>77</v>
      </c>
      <c r="H336" s="11" t="s">
        <v>43</v>
      </c>
      <c r="I336" s="11" t="s">
        <v>61</v>
      </c>
      <c r="J336" s="11" t="s">
        <v>147</v>
      </c>
      <c r="K336" s="13" t="n">
        <v>361.79</v>
      </c>
      <c r="L336" s="11" t="n">
        <v>50</v>
      </c>
      <c r="M336" s="14" t="n">
        <v>0.05</v>
      </c>
      <c r="N336" s="13" t="n">
        <v>135.21</v>
      </c>
      <c r="O336" s="13" t="n">
        <f aca="false">K336*L336*(1-M336)</f>
        <v>17185.025</v>
      </c>
      <c r="P336" s="13" t="n">
        <f aca="false">N336*L336</f>
        <v>6760.5</v>
      </c>
      <c r="Q336" s="13" t="n">
        <f aca="false">O336-P336</f>
        <v>10424.525</v>
      </c>
      <c r="R336" s="11" t="s">
        <v>63</v>
      </c>
      <c r="S336" s="11" t="s">
        <v>47</v>
      </c>
    </row>
    <row r="337" customFormat="false" ht="15" hidden="false" customHeight="true" outlineLevel="0" collapsed="false">
      <c r="A337" s="15" t="s">
        <v>473</v>
      </c>
      <c r="B337" s="16" t="n">
        <v>45555</v>
      </c>
      <c r="C337" s="15" t="s">
        <v>38</v>
      </c>
      <c r="D337" s="15" t="s">
        <v>39</v>
      </c>
      <c r="E337" s="15" t="s">
        <v>40</v>
      </c>
      <c r="F337" s="15" t="s">
        <v>109</v>
      </c>
      <c r="G337" s="15" t="s">
        <v>130</v>
      </c>
      <c r="H337" s="15" t="s">
        <v>84</v>
      </c>
      <c r="I337" s="15" t="s">
        <v>85</v>
      </c>
      <c r="J337" s="15" t="s">
        <v>86</v>
      </c>
      <c r="K337" s="17" t="n">
        <v>638.07</v>
      </c>
      <c r="L337" s="15" t="n">
        <v>20</v>
      </c>
      <c r="M337" s="18" t="n">
        <v>0.05</v>
      </c>
      <c r="N337" s="17" t="n">
        <v>501.16</v>
      </c>
      <c r="O337" s="17" t="n">
        <f aca="false">K337*L337*(1-M337)</f>
        <v>12123.33</v>
      </c>
      <c r="P337" s="17" t="n">
        <f aca="false">N337*L337</f>
        <v>10023.2</v>
      </c>
      <c r="Q337" s="17" t="n">
        <f aca="false">O337-P337</f>
        <v>2100.13</v>
      </c>
      <c r="R337" s="15" t="s">
        <v>46</v>
      </c>
      <c r="S337" s="15" t="s">
        <v>47</v>
      </c>
    </row>
    <row r="338" customFormat="false" ht="15" hidden="false" customHeight="true" outlineLevel="0" collapsed="false">
      <c r="A338" s="11" t="s">
        <v>474</v>
      </c>
      <c r="B338" s="12" t="n">
        <v>45556</v>
      </c>
      <c r="C338" s="11" t="s">
        <v>49</v>
      </c>
      <c r="D338" s="11" t="s">
        <v>152</v>
      </c>
      <c r="E338" s="11" t="s">
        <v>152</v>
      </c>
      <c r="F338" s="11" t="s">
        <v>177</v>
      </c>
      <c r="G338" s="11" t="s">
        <v>42</v>
      </c>
      <c r="H338" s="11" t="s">
        <v>53</v>
      </c>
      <c r="I338" s="11" t="s">
        <v>94</v>
      </c>
      <c r="J338" s="11" t="s">
        <v>131</v>
      </c>
      <c r="K338" s="13" t="n">
        <v>25.69</v>
      </c>
      <c r="L338" s="11" t="n">
        <v>27</v>
      </c>
      <c r="M338" s="14" t="n">
        <v>0.2</v>
      </c>
      <c r="N338" s="13" t="n">
        <v>16.18</v>
      </c>
      <c r="O338" s="13" t="n">
        <f aca="false">K338*L338*(1-M338)</f>
        <v>554.904</v>
      </c>
      <c r="P338" s="13" t="n">
        <f aca="false">N338*L338</f>
        <v>436.86</v>
      </c>
      <c r="Q338" s="13" t="n">
        <f aca="false">O338-P338</f>
        <v>118.044</v>
      </c>
      <c r="R338" s="11" t="s">
        <v>63</v>
      </c>
      <c r="S338" s="11" t="s">
        <v>47</v>
      </c>
    </row>
    <row r="339" customFormat="false" ht="15" hidden="false" customHeight="true" outlineLevel="0" collapsed="false">
      <c r="A339" s="15" t="s">
        <v>475</v>
      </c>
      <c r="B339" s="16" t="n">
        <v>45557</v>
      </c>
      <c r="C339" s="15" t="s">
        <v>49</v>
      </c>
      <c r="D339" s="15" t="s">
        <v>97</v>
      </c>
      <c r="E339" s="15" t="s">
        <v>98</v>
      </c>
      <c r="F339" s="15" t="s">
        <v>68</v>
      </c>
      <c r="G339" s="15" t="s">
        <v>126</v>
      </c>
      <c r="H339" s="15" t="s">
        <v>78</v>
      </c>
      <c r="I339" s="15" t="s">
        <v>120</v>
      </c>
      <c r="J339" s="15" t="s">
        <v>121</v>
      </c>
      <c r="K339" s="17" t="n">
        <v>305.73</v>
      </c>
      <c r="L339" s="15" t="n">
        <v>36</v>
      </c>
      <c r="M339" s="18" t="n">
        <v>0.1</v>
      </c>
      <c r="N339" s="17" t="n">
        <v>235.17</v>
      </c>
      <c r="O339" s="17" t="n">
        <f aca="false">K339*L339*(1-M339)</f>
        <v>9905.652</v>
      </c>
      <c r="P339" s="17" t="n">
        <f aca="false">N339*L339</f>
        <v>8466.12</v>
      </c>
      <c r="Q339" s="17" t="n">
        <f aca="false">O339-P339</f>
        <v>1439.532</v>
      </c>
      <c r="R339" s="15" t="s">
        <v>46</v>
      </c>
      <c r="S339" s="15" t="s">
        <v>47</v>
      </c>
    </row>
    <row r="340" customFormat="false" ht="15" hidden="false" customHeight="true" outlineLevel="0" collapsed="false">
      <c r="A340" s="11" t="s">
        <v>476</v>
      </c>
      <c r="B340" s="12" t="n">
        <v>45557</v>
      </c>
      <c r="C340" s="11" t="s">
        <v>49</v>
      </c>
      <c r="D340" s="11" t="s">
        <v>97</v>
      </c>
      <c r="E340" s="11" t="s">
        <v>98</v>
      </c>
      <c r="F340" s="11" t="s">
        <v>177</v>
      </c>
      <c r="G340" s="11" t="s">
        <v>52</v>
      </c>
      <c r="H340" s="11" t="s">
        <v>78</v>
      </c>
      <c r="I340" s="11" t="s">
        <v>143</v>
      </c>
      <c r="J340" s="11" t="s">
        <v>144</v>
      </c>
      <c r="K340" s="13" t="n">
        <v>1127.36</v>
      </c>
      <c r="L340" s="11" t="n">
        <v>5</v>
      </c>
      <c r="M340" s="14" t="n">
        <v>0.15</v>
      </c>
      <c r="N340" s="13" t="n">
        <v>904.39</v>
      </c>
      <c r="O340" s="13" t="n">
        <f aca="false">K340*L340*(1-M340)</f>
        <v>4791.28</v>
      </c>
      <c r="P340" s="13" t="n">
        <f aca="false">N340*L340</f>
        <v>4521.95</v>
      </c>
      <c r="Q340" s="13" t="n">
        <f aca="false">O340-P340</f>
        <v>269.329999999999</v>
      </c>
      <c r="R340" s="11" t="s">
        <v>46</v>
      </c>
      <c r="S340" s="11" t="s">
        <v>72</v>
      </c>
    </row>
    <row r="341" customFormat="false" ht="15" hidden="false" customHeight="true" outlineLevel="0" collapsed="false">
      <c r="A341" s="15" t="s">
        <v>477</v>
      </c>
      <c r="B341" s="16" t="n">
        <v>45558</v>
      </c>
      <c r="C341" s="15" t="s">
        <v>49</v>
      </c>
      <c r="D341" s="15" t="s">
        <v>50</v>
      </c>
      <c r="E341" s="15" t="s">
        <v>50</v>
      </c>
      <c r="F341" s="15" t="s">
        <v>177</v>
      </c>
      <c r="G341" s="15" t="s">
        <v>77</v>
      </c>
      <c r="H341" s="15" t="s">
        <v>84</v>
      </c>
      <c r="I341" s="15" t="s">
        <v>136</v>
      </c>
      <c r="J341" s="15" t="s">
        <v>137</v>
      </c>
      <c r="K341" s="17" t="n">
        <v>267.5</v>
      </c>
      <c r="L341" s="15" t="n">
        <v>16</v>
      </c>
      <c r="M341" s="18" t="n">
        <v>0</v>
      </c>
      <c r="N341" s="17" t="n">
        <v>211.75</v>
      </c>
      <c r="O341" s="17" t="n">
        <f aca="false">K341*L341*(1-M341)</f>
        <v>4280</v>
      </c>
      <c r="P341" s="17" t="n">
        <f aca="false">N341*L341</f>
        <v>3388</v>
      </c>
      <c r="Q341" s="17" t="n">
        <f aca="false">O341-P341</f>
        <v>892</v>
      </c>
      <c r="R341" s="15" t="s">
        <v>46</v>
      </c>
      <c r="S341" s="15" t="s">
        <v>47</v>
      </c>
    </row>
    <row r="342" customFormat="false" ht="15" hidden="false" customHeight="true" outlineLevel="0" collapsed="false">
      <c r="A342" s="11" t="s">
        <v>478</v>
      </c>
      <c r="B342" s="12" t="n">
        <v>45559</v>
      </c>
      <c r="C342" s="11" t="s">
        <v>74</v>
      </c>
      <c r="D342" s="11" t="s">
        <v>75</v>
      </c>
      <c r="E342" s="11" t="s">
        <v>76</v>
      </c>
      <c r="F342" s="11" t="s">
        <v>99</v>
      </c>
      <c r="G342" s="11" t="s">
        <v>52</v>
      </c>
      <c r="H342" s="11" t="s">
        <v>53</v>
      </c>
      <c r="I342" s="11" t="s">
        <v>54</v>
      </c>
      <c r="J342" s="11" t="s">
        <v>113</v>
      </c>
      <c r="K342" s="13" t="n">
        <v>18.73</v>
      </c>
      <c r="L342" s="11" t="n">
        <v>138</v>
      </c>
      <c r="M342" s="14" t="n">
        <v>0</v>
      </c>
      <c r="N342" s="13" t="n">
        <v>13.22</v>
      </c>
      <c r="O342" s="13" t="n">
        <f aca="false">K342*L342*(1-M342)</f>
        <v>2584.74</v>
      </c>
      <c r="P342" s="13" t="n">
        <f aca="false">N342*L342</f>
        <v>1824.36</v>
      </c>
      <c r="Q342" s="13" t="n">
        <f aca="false">O342-P342</f>
        <v>760.38</v>
      </c>
      <c r="R342" s="11" t="s">
        <v>46</v>
      </c>
      <c r="S342" s="11" t="s">
        <v>47</v>
      </c>
    </row>
    <row r="343" customFormat="false" ht="15" hidden="false" customHeight="true" outlineLevel="0" collapsed="false">
      <c r="A343" s="15" t="s">
        <v>479</v>
      </c>
      <c r="B343" s="16" t="n">
        <v>45559</v>
      </c>
      <c r="C343" s="15" t="s">
        <v>49</v>
      </c>
      <c r="D343" s="15" t="s">
        <v>50</v>
      </c>
      <c r="E343" s="15" t="s">
        <v>50</v>
      </c>
      <c r="F343" s="15" t="s">
        <v>99</v>
      </c>
      <c r="G343" s="15" t="s">
        <v>52</v>
      </c>
      <c r="H343" s="15" t="s">
        <v>43</v>
      </c>
      <c r="I343" s="15" t="s">
        <v>44</v>
      </c>
      <c r="J343" s="15" t="s">
        <v>45</v>
      </c>
      <c r="K343" s="17" t="n">
        <v>128.48</v>
      </c>
      <c r="L343" s="15" t="n">
        <v>30</v>
      </c>
      <c r="M343" s="18" t="n">
        <v>0.1</v>
      </c>
      <c r="N343" s="17" t="n">
        <v>52.87</v>
      </c>
      <c r="O343" s="17" t="n">
        <f aca="false">K343*L343*(1-M343)</f>
        <v>3468.96</v>
      </c>
      <c r="P343" s="17" t="n">
        <f aca="false">N343*L343</f>
        <v>1586.1</v>
      </c>
      <c r="Q343" s="17" t="n">
        <f aca="false">O343-P343</f>
        <v>1882.86</v>
      </c>
      <c r="R343" s="15" t="s">
        <v>71</v>
      </c>
      <c r="S343" s="15" t="s">
        <v>47</v>
      </c>
    </row>
    <row r="344" customFormat="false" ht="15" hidden="false" customHeight="true" outlineLevel="0" collapsed="false">
      <c r="A344" s="11" t="s">
        <v>480</v>
      </c>
      <c r="B344" s="12" t="n">
        <v>45560</v>
      </c>
      <c r="C344" s="11" t="s">
        <v>65</v>
      </c>
      <c r="D344" s="11" t="s">
        <v>149</v>
      </c>
      <c r="E344" s="11" t="s">
        <v>150</v>
      </c>
      <c r="F344" s="11" t="s">
        <v>123</v>
      </c>
      <c r="G344" s="11" t="s">
        <v>77</v>
      </c>
      <c r="H344" s="11" t="s">
        <v>53</v>
      </c>
      <c r="I344" s="11" t="s">
        <v>94</v>
      </c>
      <c r="J344" s="11" t="s">
        <v>95</v>
      </c>
      <c r="K344" s="13" t="n">
        <v>37.38</v>
      </c>
      <c r="L344" s="11" t="n">
        <v>75</v>
      </c>
      <c r="M344" s="14" t="n">
        <v>0</v>
      </c>
      <c r="N344" s="13" t="n">
        <v>24.6</v>
      </c>
      <c r="O344" s="13" t="n">
        <f aca="false">K344*L344*(1-M344)</f>
        <v>2803.5</v>
      </c>
      <c r="P344" s="13" t="n">
        <f aca="false">N344*L344</f>
        <v>1845</v>
      </c>
      <c r="Q344" s="13" t="n">
        <f aca="false">O344-P344</f>
        <v>958.5</v>
      </c>
      <c r="R344" s="11" t="s">
        <v>114</v>
      </c>
      <c r="S344" s="11" t="s">
        <v>72</v>
      </c>
    </row>
    <row r="345" customFormat="false" ht="15" hidden="false" customHeight="true" outlineLevel="0" collapsed="false">
      <c r="A345" s="15" t="s">
        <v>481</v>
      </c>
      <c r="B345" s="16" t="n">
        <v>45561</v>
      </c>
      <c r="C345" s="15" t="s">
        <v>49</v>
      </c>
      <c r="D345" s="15" t="s">
        <v>97</v>
      </c>
      <c r="E345" s="15" t="s">
        <v>98</v>
      </c>
      <c r="F345" s="15" t="s">
        <v>68</v>
      </c>
      <c r="G345" s="15" t="s">
        <v>130</v>
      </c>
      <c r="H345" s="15" t="s">
        <v>84</v>
      </c>
      <c r="I345" s="15" t="s">
        <v>85</v>
      </c>
      <c r="J345" s="15" t="s">
        <v>90</v>
      </c>
      <c r="K345" s="17" t="n">
        <v>689.13</v>
      </c>
      <c r="L345" s="15" t="n">
        <v>11</v>
      </c>
      <c r="M345" s="18" t="n">
        <v>0</v>
      </c>
      <c r="N345" s="17" t="n">
        <v>505.5</v>
      </c>
      <c r="O345" s="17" t="n">
        <f aca="false">K345*L345*(1-M345)</f>
        <v>7580.43</v>
      </c>
      <c r="P345" s="17" t="n">
        <f aca="false">N345*L345</f>
        <v>5560.5</v>
      </c>
      <c r="Q345" s="17" t="n">
        <f aca="false">O345-P345</f>
        <v>2019.93</v>
      </c>
      <c r="R345" s="15" t="s">
        <v>63</v>
      </c>
      <c r="S345" s="15" t="s">
        <v>47</v>
      </c>
    </row>
    <row r="346" customFormat="false" ht="15" hidden="false" customHeight="true" outlineLevel="0" collapsed="false">
      <c r="A346" s="11" t="s">
        <v>482</v>
      </c>
      <c r="B346" s="12" t="n">
        <v>45562</v>
      </c>
      <c r="C346" s="11" t="s">
        <v>65</v>
      </c>
      <c r="D346" s="11" t="s">
        <v>66</v>
      </c>
      <c r="E346" s="11" t="s">
        <v>67</v>
      </c>
      <c r="F346" s="11" t="s">
        <v>99</v>
      </c>
      <c r="G346" s="11" t="s">
        <v>52</v>
      </c>
      <c r="H346" s="11" t="s">
        <v>53</v>
      </c>
      <c r="I346" s="11" t="s">
        <v>54</v>
      </c>
      <c r="J346" s="11" t="s">
        <v>113</v>
      </c>
      <c r="K346" s="13" t="n">
        <v>10.78</v>
      </c>
      <c r="L346" s="11" t="n">
        <v>92</v>
      </c>
      <c r="M346" s="14" t="n">
        <v>0.1</v>
      </c>
      <c r="N346" s="13" t="n">
        <v>6.33</v>
      </c>
      <c r="O346" s="13" t="n">
        <f aca="false">K346*L346*(1-M346)</f>
        <v>892.584</v>
      </c>
      <c r="P346" s="13" t="n">
        <f aca="false">N346*L346</f>
        <v>582.36</v>
      </c>
      <c r="Q346" s="13" t="n">
        <f aca="false">O346-P346</f>
        <v>310.224</v>
      </c>
      <c r="R346" s="11" t="s">
        <v>63</v>
      </c>
      <c r="S346" s="11" t="s">
        <v>47</v>
      </c>
    </row>
    <row r="347" customFormat="false" ht="15" hidden="false" customHeight="true" outlineLevel="0" collapsed="false">
      <c r="A347" s="15" t="s">
        <v>483</v>
      </c>
      <c r="B347" s="16" t="n">
        <v>45562</v>
      </c>
      <c r="C347" s="15" t="s">
        <v>49</v>
      </c>
      <c r="D347" s="15" t="s">
        <v>97</v>
      </c>
      <c r="E347" s="15" t="s">
        <v>112</v>
      </c>
      <c r="F347" s="15" t="s">
        <v>177</v>
      </c>
      <c r="G347" s="15" t="s">
        <v>130</v>
      </c>
      <c r="H347" s="15" t="s">
        <v>53</v>
      </c>
      <c r="I347" s="15" t="s">
        <v>94</v>
      </c>
      <c r="J347" s="15" t="s">
        <v>131</v>
      </c>
      <c r="K347" s="17" t="n">
        <v>51.09</v>
      </c>
      <c r="L347" s="15" t="n">
        <v>10</v>
      </c>
      <c r="M347" s="18" t="n">
        <v>0.2</v>
      </c>
      <c r="N347" s="17" t="n">
        <v>30.58</v>
      </c>
      <c r="O347" s="17" t="n">
        <f aca="false">K347*L347*(1-M347)</f>
        <v>408.72</v>
      </c>
      <c r="P347" s="17" t="n">
        <f aca="false">N347*L347</f>
        <v>305.8</v>
      </c>
      <c r="Q347" s="17" t="n">
        <f aca="false">O347-P347</f>
        <v>102.92</v>
      </c>
      <c r="R347" s="15" t="s">
        <v>114</v>
      </c>
      <c r="S347" s="15" t="s">
        <v>47</v>
      </c>
    </row>
    <row r="348" customFormat="false" ht="15" hidden="false" customHeight="true" outlineLevel="0" collapsed="false">
      <c r="A348" s="11" t="s">
        <v>484</v>
      </c>
      <c r="B348" s="12" t="n">
        <v>45562</v>
      </c>
      <c r="C348" s="11" t="s">
        <v>49</v>
      </c>
      <c r="D348" s="11" t="s">
        <v>97</v>
      </c>
      <c r="E348" s="11" t="s">
        <v>98</v>
      </c>
      <c r="F348" s="11" t="s">
        <v>123</v>
      </c>
      <c r="G348" s="11" t="s">
        <v>126</v>
      </c>
      <c r="H348" s="11" t="s">
        <v>53</v>
      </c>
      <c r="I348" s="11" t="s">
        <v>54</v>
      </c>
      <c r="J348" s="11" t="s">
        <v>55</v>
      </c>
      <c r="K348" s="13" t="n">
        <v>8.73</v>
      </c>
      <c r="L348" s="11" t="n">
        <v>159</v>
      </c>
      <c r="M348" s="14" t="n">
        <v>0</v>
      </c>
      <c r="N348" s="13" t="n">
        <v>5.72</v>
      </c>
      <c r="O348" s="13" t="n">
        <f aca="false">K348*L348*(1-M348)</f>
        <v>1388.07</v>
      </c>
      <c r="P348" s="13" t="n">
        <f aca="false">N348*L348</f>
        <v>909.48</v>
      </c>
      <c r="Q348" s="13" t="n">
        <f aca="false">O348-P348</f>
        <v>478.59</v>
      </c>
      <c r="R348" s="11" t="s">
        <v>46</v>
      </c>
      <c r="S348" s="11" t="s">
        <v>47</v>
      </c>
    </row>
    <row r="349" customFormat="false" ht="15" hidden="false" customHeight="true" outlineLevel="0" collapsed="false">
      <c r="A349" s="15" t="s">
        <v>485</v>
      </c>
      <c r="B349" s="16" t="n">
        <v>45565</v>
      </c>
      <c r="C349" s="15" t="s">
        <v>65</v>
      </c>
      <c r="D349" s="15" t="s">
        <v>116</v>
      </c>
      <c r="E349" s="15" t="s">
        <v>117</v>
      </c>
      <c r="F349" s="15" t="s">
        <v>135</v>
      </c>
      <c r="G349" s="15" t="s">
        <v>77</v>
      </c>
      <c r="H349" s="15" t="s">
        <v>53</v>
      </c>
      <c r="I349" s="15" t="s">
        <v>54</v>
      </c>
      <c r="J349" s="15" t="s">
        <v>113</v>
      </c>
      <c r="K349" s="17" t="n">
        <v>12.68</v>
      </c>
      <c r="L349" s="15" t="n">
        <v>128</v>
      </c>
      <c r="M349" s="18" t="n">
        <v>0.1</v>
      </c>
      <c r="N349" s="17" t="n">
        <v>8.02</v>
      </c>
      <c r="O349" s="17" t="n">
        <f aca="false">K349*L349*(1-M349)</f>
        <v>1460.736</v>
      </c>
      <c r="P349" s="17" t="n">
        <f aca="false">N349*L349</f>
        <v>1026.56</v>
      </c>
      <c r="Q349" s="17" t="n">
        <f aca="false">O349-P349</f>
        <v>434.176</v>
      </c>
      <c r="R349" s="15" t="s">
        <v>167</v>
      </c>
      <c r="S349" s="15" t="s">
        <v>47</v>
      </c>
    </row>
    <row r="350" customFormat="false" ht="15" hidden="false" customHeight="true" outlineLevel="0" collapsed="false">
      <c r="A350" s="11" t="s">
        <v>486</v>
      </c>
      <c r="B350" s="12" t="n">
        <v>45567</v>
      </c>
      <c r="C350" s="11" t="s">
        <v>65</v>
      </c>
      <c r="D350" s="11" t="s">
        <v>149</v>
      </c>
      <c r="E350" s="11" t="s">
        <v>150</v>
      </c>
      <c r="F350" s="11" t="s">
        <v>135</v>
      </c>
      <c r="G350" s="11" t="s">
        <v>42</v>
      </c>
      <c r="H350" s="11" t="s">
        <v>43</v>
      </c>
      <c r="I350" s="11" t="s">
        <v>61</v>
      </c>
      <c r="J350" s="11" t="s">
        <v>62</v>
      </c>
      <c r="K350" s="13" t="n">
        <v>457.47</v>
      </c>
      <c r="L350" s="11" t="n">
        <v>24</v>
      </c>
      <c r="M350" s="14" t="n">
        <v>0.1</v>
      </c>
      <c r="N350" s="13" t="n">
        <v>174.96</v>
      </c>
      <c r="O350" s="13" t="n">
        <f aca="false">K350*L350*(1-M350)</f>
        <v>9881.352</v>
      </c>
      <c r="P350" s="13" t="n">
        <f aca="false">N350*L350</f>
        <v>4199.04</v>
      </c>
      <c r="Q350" s="13" t="n">
        <f aca="false">O350-P350</f>
        <v>5682.312</v>
      </c>
      <c r="R350" s="11" t="s">
        <v>46</v>
      </c>
      <c r="S350" s="11" t="s">
        <v>47</v>
      </c>
    </row>
    <row r="351" customFormat="false" ht="15" hidden="false" customHeight="true" outlineLevel="0" collapsed="false">
      <c r="A351" s="15" t="s">
        <v>487</v>
      </c>
      <c r="B351" s="16" t="n">
        <v>45567</v>
      </c>
      <c r="C351" s="15" t="s">
        <v>49</v>
      </c>
      <c r="D351" s="15" t="s">
        <v>97</v>
      </c>
      <c r="E351" s="15" t="s">
        <v>98</v>
      </c>
      <c r="F351" s="15" t="s">
        <v>123</v>
      </c>
      <c r="G351" s="15" t="s">
        <v>52</v>
      </c>
      <c r="H351" s="15" t="s">
        <v>78</v>
      </c>
      <c r="I351" s="15" t="s">
        <v>154</v>
      </c>
      <c r="J351" s="15" t="s">
        <v>155</v>
      </c>
      <c r="K351" s="17" t="n">
        <v>635.86</v>
      </c>
      <c r="L351" s="15" t="n">
        <v>14</v>
      </c>
      <c r="M351" s="18" t="n">
        <v>0.05</v>
      </c>
      <c r="N351" s="17" t="n">
        <v>534.77</v>
      </c>
      <c r="O351" s="17" t="n">
        <f aca="false">K351*L351*(1-M351)</f>
        <v>8456.938</v>
      </c>
      <c r="P351" s="17" t="n">
        <f aca="false">N351*L351</f>
        <v>7486.78</v>
      </c>
      <c r="Q351" s="17" t="n">
        <f aca="false">O351-P351</f>
        <v>970.158</v>
      </c>
      <c r="R351" s="15" t="s">
        <v>46</v>
      </c>
      <c r="S351" s="15" t="s">
        <v>187</v>
      </c>
    </row>
    <row r="352" customFormat="false" ht="15" hidden="false" customHeight="true" outlineLevel="0" collapsed="false">
      <c r="A352" s="11" t="s">
        <v>488</v>
      </c>
      <c r="B352" s="12" t="n">
        <v>45568</v>
      </c>
      <c r="C352" s="11" t="s">
        <v>65</v>
      </c>
      <c r="D352" s="11" t="s">
        <v>66</v>
      </c>
      <c r="E352" s="11" t="s">
        <v>67</v>
      </c>
      <c r="F352" s="11" t="s">
        <v>135</v>
      </c>
      <c r="G352" s="11" t="s">
        <v>52</v>
      </c>
      <c r="H352" s="11" t="s">
        <v>43</v>
      </c>
      <c r="I352" s="11" t="s">
        <v>44</v>
      </c>
      <c r="J352" s="11" t="s">
        <v>45</v>
      </c>
      <c r="K352" s="13" t="n">
        <v>281.13</v>
      </c>
      <c r="L352" s="11" t="n">
        <v>24</v>
      </c>
      <c r="M352" s="14" t="n">
        <v>0</v>
      </c>
      <c r="N352" s="13" t="n">
        <v>76.71</v>
      </c>
      <c r="O352" s="13" t="n">
        <f aca="false">K352*L352*(1-M352)</f>
        <v>6747.12</v>
      </c>
      <c r="P352" s="13" t="n">
        <f aca="false">N352*L352</f>
        <v>1841.04</v>
      </c>
      <c r="Q352" s="13" t="n">
        <f aca="false">O352-P352</f>
        <v>4906.08</v>
      </c>
      <c r="R352" s="11" t="s">
        <v>167</v>
      </c>
      <c r="S352" s="11" t="s">
        <v>47</v>
      </c>
    </row>
    <row r="353" customFormat="false" ht="15" hidden="false" customHeight="true" outlineLevel="0" collapsed="false">
      <c r="A353" s="15" t="s">
        <v>489</v>
      </c>
      <c r="B353" s="16" t="n">
        <v>45569</v>
      </c>
      <c r="C353" s="15" t="s">
        <v>49</v>
      </c>
      <c r="D353" s="15" t="s">
        <v>97</v>
      </c>
      <c r="E353" s="15" t="s">
        <v>112</v>
      </c>
      <c r="F353" s="15" t="s">
        <v>123</v>
      </c>
      <c r="G353" s="15" t="s">
        <v>52</v>
      </c>
      <c r="H353" s="15" t="s">
        <v>53</v>
      </c>
      <c r="I353" s="15" t="s">
        <v>54</v>
      </c>
      <c r="J353" s="15" t="s">
        <v>55</v>
      </c>
      <c r="K353" s="17" t="n">
        <v>11.83</v>
      </c>
      <c r="L353" s="15" t="n">
        <v>133</v>
      </c>
      <c r="M353" s="18" t="n">
        <v>0</v>
      </c>
      <c r="N353" s="17" t="n">
        <v>7.84</v>
      </c>
      <c r="O353" s="17" t="n">
        <f aca="false">K353*L353*(1-M353)</f>
        <v>1573.39</v>
      </c>
      <c r="P353" s="17" t="n">
        <f aca="false">N353*L353</f>
        <v>1042.72</v>
      </c>
      <c r="Q353" s="17" t="n">
        <f aca="false">O353-P353</f>
        <v>530.67</v>
      </c>
      <c r="R353" s="15" t="s">
        <v>114</v>
      </c>
      <c r="S353" s="15" t="s">
        <v>47</v>
      </c>
    </row>
    <row r="354" customFormat="false" ht="15" hidden="false" customHeight="true" outlineLevel="0" collapsed="false">
      <c r="A354" s="11" t="s">
        <v>490</v>
      </c>
      <c r="B354" s="12" t="n">
        <v>45571</v>
      </c>
      <c r="C354" s="11" t="s">
        <v>49</v>
      </c>
      <c r="D354" s="11" t="s">
        <v>97</v>
      </c>
      <c r="E354" s="11" t="s">
        <v>108</v>
      </c>
      <c r="F354" s="11" t="s">
        <v>118</v>
      </c>
      <c r="G354" s="11" t="s">
        <v>42</v>
      </c>
      <c r="H354" s="11" t="s">
        <v>78</v>
      </c>
      <c r="I354" s="11" t="s">
        <v>154</v>
      </c>
      <c r="J354" s="11" t="s">
        <v>155</v>
      </c>
      <c r="K354" s="13" t="n">
        <v>550.11</v>
      </c>
      <c r="L354" s="11" t="n">
        <v>10</v>
      </c>
      <c r="M354" s="14" t="n">
        <v>0.05</v>
      </c>
      <c r="N354" s="13" t="n">
        <v>436.62</v>
      </c>
      <c r="O354" s="13" t="n">
        <f aca="false">K354*L354*(1-M354)</f>
        <v>5226.045</v>
      </c>
      <c r="P354" s="13" t="n">
        <f aca="false">N354*L354</f>
        <v>4366.2</v>
      </c>
      <c r="Q354" s="13" t="n">
        <f aca="false">O354-P354</f>
        <v>859.845</v>
      </c>
      <c r="R354" s="11" t="s">
        <v>46</v>
      </c>
      <c r="S354" s="11" t="s">
        <v>187</v>
      </c>
    </row>
    <row r="355" customFormat="false" ht="15" hidden="false" customHeight="true" outlineLevel="0" collapsed="false">
      <c r="A355" s="15" t="s">
        <v>491</v>
      </c>
      <c r="B355" s="16" t="n">
        <v>45571</v>
      </c>
      <c r="C355" s="15" t="s">
        <v>49</v>
      </c>
      <c r="D355" s="15" t="s">
        <v>97</v>
      </c>
      <c r="E355" s="15" t="s">
        <v>98</v>
      </c>
      <c r="F355" s="15" t="s">
        <v>177</v>
      </c>
      <c r="G355" s="15" t="s">
        <v>52</v>
      </c>
      <c r="H355" s="15" t="s">
        <v>43</v>
      </c>
      <c r="I355" s="15" t="s">
        <v>61</v>
      </c>
      <c r="J355" s="15" t="s">
        <v>147</v>
      </c>
      <c r="K355" s="17" t="n">
        <v>193.28</v>
      </c>
      <c r="L355" s="15" t="n">
        <v>6</v>
      </c>
      <c r="M355" s="18" t="n">
        <v>0</v>
      </c>
      <c r="N355" s="17" t="n">
        <v>67.2</v>
      </c>
      <c r="O355" s="17" t="n">
        <f aca="false">K355*L355*(1-M355)</f>
        <v>1159.68</v>
      </c>
      <c r="P355" s="17" t="n">
        <f aca="false">N355*L355</f>
        <v>403.2</v>
      </c>
      <c r="Q355" s="17" t="n">
        <f aca="false">O355-P355</f>
        <v>756.48</v>
      </c>
      <c r="R355" s="15" t="s">
        <v>46</v>
      </c>
      <c r="S355" s="15" t="s">
        <v>124</v>
      </c>
    </row>
    <row r="356" customFormat="false" ht="15" hidden="false" customHeight="true" outlineLevel="0" collapsed="false">
      <c r="A356" s="11" t="s">
        <v>492</v>
      </c>
      <c r="B356" s="12" t="n">
        <v>45572</v>
      </c>
      <c r="C356" s="11" t="s">
        <v>65</v>
      </c>
      <c r="D356" s="11" t="s">
        <v>66</v>
      </c>
      <c r="E356" s="11" t="s">
        <v>67</v>
      </c>
      <c r="F356" s="11" t="s">
        <v>109</v>
      </c>
      <c r="G356" s="11" t="s">
        <v>126</v>
      </c>
      <c r="H356" s="11" t="s">
        <v>43</v>
      </c>
      <c r="I356" s="11" t="s">
        <v>44</v>
      </c>
      <c r="J356" s="11" t="s">
        <v>45</v>
      </c>
      <c r="K356" s="13" t="n">
        <v>128.41</v>
      </c>
      <c r="L356" s="11" t="n">
        <v>12</v>
      </c>
      <c r="M356" s="14" t="n">
        <v>0</v>
      </c>
      <c r="N356" s="13" t="n">
        <v>41.76</v>
      </c>
      <c r="O356" s="13" t="n">
        <f aca="false">K356*L356*(1-M356)</f>
        <v>1540.92</v>
      </c>
      <c r="P356" s="13" t="n">
        <f aca="false">N356*L356</f>
        <v>501.12</v>
      </c>
      <c r="Q356" s="13" t="n">
        <f aca="false">O356-P356</f>
        <v>1039.8</v>
      </c>
      <c r="R356" s="11" t="s">
        <v>46</v>
      </c>
      <c r="S356" s="11" t="s">
        <v>47</v>
      </c>
    </row>
    <row r="357" customFormat="false" ht="15" hidden="false" customHeight="true" outlineLevel="0" collapsed="false">
      <c r="A357" s="15" t="s">
        <v>493</v>
      </c>
      <c r="B357" s="16" t="n">
        <v>45572</v>
      </c>
      <c r="C357" s="15" t="s">
        <v>49</v>
      </c>
      <c r="D357" s="15" t="s">
        <v>50</v>
      </c>
      <c r="E357" s="15" t="s">
        <v>50</v>
      </c>
      <c r="F357" s="15" t="s">
        <v>118</v>
      </c>
      <c r="G357" s="15" t="s">
        <v>52</v>
      </c>
      <c r="H357" s="15" t="s">
        <v>84</v>
      </c>
      <c r="I357" s="15" t="s">
        <v>100</v>
      </c>
      <c r="J357" s="15" t="s">
        <v>101</v>
      </c>
      <c r="K357" s="17" t="n">
        <v>1713.66</v>
      </c>
      <c r="L357" s="15" t="n">
        <v>7</v>
      </c>
      <c r="M357" s="18" t="n">
        <v>0.2</v>
      </c>
      <c r="N357" s="17" t="n">
        <v>1302.49</v>
      </c>
      <c r="O357" s="17" t="n">
        <f aca="false">K357*L357*(1-M357)</f>
        <v>9596.496</v>
      </c>
      <c r="P357" s="17" t="n">
        <f aca="false">N357*L357</f>
        <v>9117.43</v>
      </c>
      <c r="Q357" s="17" t="n">
        <f aca="false">O357-P357</f>
        <v>479.066000000001</v>
      </c>
      <c r="R357" s="15" t="s">
        <v>63</v>
      </c>
      <c r="S357" s="15" t="s">
        <v>72</v>
      </c>
    </row>
    <row r="358" customFormat="false" ht="15" hidden="false" customHeight="true" outlineLevel="0" collapsed="false">
      <c r="A358" s="11" t="s">
        <v>494</v>
      </c>
      <c r="B358" s="12" t="n">
        <v>45572</v>
      </c>
      <c r="C358" s="11" t="s">
        <v>57</v>
      </c>
      <c r="D358" s="11" t="s">
        <v>58</v>
      </c>
      <c r="E358" s="11" t="s">
        <v>59</v>
      </c>
      <c r="F358" s="11" t="s">
        <v>60</v>
      </c>
      <c r="G358" s="11" t="s">
        <v>77</v>
      </c>
      <c r="H358" s="11" t="s">
        <v>43</v>
      </c>
      <c r="I358" s="11" t="s">
        <v>61</v>
      </c>
      <c r="J358" s="11" t="s">
        <v>62</v>
      </c>
      <c r="K358" s="13" t="n">
        <v>487.96</v>
      </c>
      <c r="L358" s="11" t="n">
        <v>7</v>
      </c>
      <c r="M358" s="14" t="n">
        <v>0.1</v>
      </c>
      <c r="N358" s="13" t="n">
        <v>200.92</v>
      </c>
      <c r="O358" s="13" t="n">
        <f aca="false">K358*L358*(1-M358)</f>
        <v>3074.148</v>
      </c>
      <c r="P358" s="13" t="n">
        <f aca="false">N358*L358</f>
        <v>1406.44</v>
      </c>
      <c r="Q358" s="13" t="n">
        <f aca="false">O358-P358</f>
        <v>1667.708</v>
      </c>
      <c r="R358" s="11" t="s">
        <v>63</v>
      </c>
      <c r="S358" s="11" t="s">
        <v>47</v>
      </c>
    </row>
    <row r="359" customFormat="false" ht="15" hidden="false" customHeight="true" outlineLevel="0" collapsed="false">
      <c r="A359" s="15" t="s">
        <v>495</v>
      </c>
      <c r="B359" s="16" t="n">
        <v>45572</v>
      </c>
      <c r="C359" s="15" t="s">
        <v>49</v>
      </c>
      <c r="D359" s="15" t="s">
        <v>97</v>
      </c>
      <c r="E359" s="15" t="s">
        <v>112</v>
      </c>
      <c r="F359" s="15" t="s">
        <v>135</v>
      </c>
      <c r="G359" s="15" t="s">
        <v>126</v>
      </c>
      <c r="H359" s="15" t="s">
        <v>53</v>
      </c>
      <c r="I359" s="15" t="s">
        <v>69</v>
      </c>
      <c r="J359" s="15" t="s">
        <v>128</v>
      </c>
      <c r="K359" s="17" t="n">
        <v>12.1</v>
      </c>
      <c r="L359" s="15" t="n">
        <v>72</v>
      </c>
      <c r="M359" s="18" t="n">
        <v>0.2</v>
      </c>
      <c r="N359" s="17" t="n">
        <v>8.75</v>
      </c>
      <c r="O359" s="17" t="n">
        <f aca="false">K359*L359*(1-M359)</f>
        <v>696.96</v>
      </c>
      <c r="P359" s="17" t="n">
        <f aca="false">N359*L359</f>
        <v>630</v>
      </c>
      <c r="Q359" s="17" t="n">
        <f aca="false">O359-P359</f>
        <v>66.96</v>
      </c>
      <c r="R359" s="15" t="s">
        <v>63</v>
      </c>
      <c r="S359" s="15" t="s">
        <v>47</v>
      </c>
    </row>
    <row r="360" customFormat="false" ht="15" hidden="false" customHeight="true" outlineLevel="0" collapsed="false">
      <c r="A360" s="11" t="s">
        <v>496</v>
      </c>
      <c r="B360" s="12" t="n">
        <v>45573</v>
      </c>
      <c r="C360" s="11" t="s">
        <v>65</v>
      </c>
      <c r="D360" s="11" t="s">
        <v>82</v>
      </c>
      <c r="E360" s="11" t="s">
        <v>83</v>
      </c>
      <c r="F360" s="11" t="s">
        <v>109</v>
      </c>
      <c r="G360" s="11" t="s">
        <v>130</v>
      </c>
      <c r="H360" s="11" t="s">
        <v>53</v>
      </c>
      <c r="I360" s="11" t="s">
        <v>94</v>
      </c>
      <c r="J360" s="11" t="s">
        <v>131</v>
      </c>
      <c r="K360" s="13" t="n">
        <v>25.27</v>
      </c>
      <c r="L360" s="11" t="n">
        <v>94</v>
      </c>
      <c r="M360" s="14" t="n">
        <v>0</v>
      </c>
      <c r="N360" s="13" t="n">
        <v>16.38</v>
      </c>
      <c r="O360" s="13" t="n">
        <f aca="false">K360*L360*(1-M360)</f>
        <v>2375.38</v>
      </c>
      <c r="P360" s="13" t="n">
        <f aca="false">N360*L360</f>
        <v>1539.72</v>
      </c>
      <c r="Q360" s="13" t="n">
        <f aca="false">O360-P360</f>
        <v>835.66</v>
      </c>
      <c r="R360" s="11" t="s">
        <v>167</v>
      </c>
      <c r="S360" s="11" t="s">
        <v>47</v>
      </c>
    </row>
    <row r="361" customFormat="false" ht="15" hidden="false" customHeight="true" outlineLevel="0" collapsed="false">
      <c r="A361" s="15" t="s">
        <v>497</v>
      </c>
      <c r="B361" s="16" t="n">
        <v>45573</v>
      </c>
      <c r="C361" s="15" t="s">
        <v>65</v>
      </c>
      <c r="D361" s="15" t="s">
        <v>82</v>
      </c>
      <c r="E361" s="15" t="s">
        <v>83</v>
      </c>
      <c r="F361" s="15" t="s">
        <v>68</v>
      </c>
      <c r="G361" s="15" t="s">
        <v>52</v>
      </c>
      <c r="H361" s="15" t="s">
        <v>78</v>
      </c>
      <c r="I361" s="15" t="s">
        <v>154</v>
      </c>
      <c r="J361" s="15" t="s">
        <v>186</v>
      </c>
      <c r="K361" s="17" t="n">
        <v>525.88</v>
      </c>
      <c r="L361" s="15" t="n">
        <v>10</v>
      </c>
      <c r="M361" s="18" t="n">
        <v>0.1</v>
      </c>
      <c r="N361" s="17" t="n">
        <v>435.82</v>
      </c>
      <c r="O361" s="17" t="n">
        <f aca="false">K361*L361*(1-M361)</f>
        <v>4732.92</v>
      </c>
      <c r="P361" s="17" t="n">
        <f aca="false">N361*L361</f>
        <v>4358.2</v>
      </c>
      <c r="Q361" s="17" t="n">
        <f aca="false">O361-P361</f>
        <v>374.72</v>
      </c>
      <c r="R361" s="15" t="s">
        <v>63</v>
      </c>
      <c r="S361" s="15" t="s">
        <v>47</v>
      </c>
    </row>
    <row r="362" customFormat="false" ht="15" hidden="false" customHeight="true" outlineLevel="0" collapsed="false">
      <c r="A362" s="11" t="s">
        <v>498</v>
      </c>
      <c r="B362" s="12" t="n">
        <v>45574</v>
      </c>
      <c r="C362" s="11" t="s">
        <v>49</v>
      </c>
      <c r="D362" s="11" t="s">
        <v>152</v>
      </c>
      <c r="E362" s="11" t="s">
        <v>152</v>
      </c>
      <c r="F362" s="11" t="s">
        <v>109</v>
      </c>
      <c r="G362" s="11" t="s">
        <v>77</v>
      </c>
      <c r="H362" s="11" t="s">
        <v>53</v>
      </c>
      <c r="I362" s="11" t="s">
        <v>54</v>
      </c>
      <c r="J362" s="11" t="s">
        <v>55</v>
      </c>
      <c r="K362" s="13" t="n">
        <v>26.38</v>
      </c>
      <c r="L362" s="11" t="n">
        <v>150</v>
      </c>
      <c r="M362" s="14" t="n">
        <v>0</v>
      </c>
      <c r="N362" s="13" t="n">
        <v>18.36</v>
      </c>
      <c r="O362" s="13" t="n">
        <f aca="false">K362*L362*(1-M362)</f>
        <v>3957</v>
      </c>
      <c r="P362" s="13" t="n">
        <f aca="false">N362*L362</f>
        <v>2754</v>
      </c>
      <c r="Q362" s="13" t="n">
        <f aca="false">O362-P362</f>
        <v>1203</v>
      </c>
      <c r="R362" s="11" t="s">
        <v>71</v>
      </c>
      <c r="S362" s="11" t="s">
        <v>47</v>
      </c>
    </row>
    <row r="363" customFormat="false" ht="15" hidden="false" customHeight="true" outlineLevel="0" collapsed="false">
      <c r="A363" s="15" t="s">
        <v>499</v>
      </c>
      <c r="B363" s="16" t="n">
        <v>45574</v>
      </c>
      <c r="C363" s="15" t="s">
        <v>49</v>
      </c>
      <c r="D363" s="15" t="s">
        <v>50</v>
      </c>
      <c r="E363" s="15" t="s">
        <v>50</v>
      </c>
      <c r="F363" s="15" t="s">
        <v>123</v>
      </c>
      <c r="G363" s="15" t="s">
        <v>126</v>
      </c>
      <c r="H363" s="15" t="s">
        <v>78</v>
      </c>
      <c r="I363" s="15" t="s">
        <v>120</v>
      </c>
      <c r="J363" s="15" t="s">
        <v>232</v>
      </c>
      <c r="K363" s="17" t="n">
        <v>353.63</v>
      </c>
      <c r="L363" s="15" t="n">
        <v>47</v>
      </c>
      <c r="M363" s="18" t="n">
        <v>0</v>
      </c>
      <c r="N363" s="17" t="n">
        <v>288.68</v>
      </c>
      <c r="O363" s="17" t="n">
        <f aca="false">K363*L363*(1-M363)</f>
        <v>16620.61</v>
      </c>
      <c r="P363" s="17" t="n">
        <f aca="false">N363*L363</f>
        <v>13567.96</v>
      </c>
      <c r="Q363" s="17" t="n">
        <f aca="false">O363-P363</f>
        <v>3052.65</v>
      </c>
      <c r="R363" s="15" t="s">
        <v>63</v>
      </c>
      <c r="S363" s="15" t="s">
        <v>47</v>
      </c>
    </row>
    <row r="364" customFormat="false" ht="15" hidden="false" customHeight="true" outlineLevel="0" collapsed="false">
      <c r="A364" s="11" t="s">
        <v>500</v>
      </c>
      <c r="B364" s="12" t="n">
        <v>45574</v>
      </c>
      <c r="C364" s="11" t="s">
        <v>38</v>
      </c>
      <c r="D364" s="11" t="s">
        <v>92</v>
      </c>
      <c r="E364" s="11" t="s">
        <v>93</v>
      </c>
      <c r="F364" s="11" t="s">
        <v>109</v>
      </c>
      <c r="G364" s="11" t="s">
        <v>77</v>
      </c>
      <c r="H364" s="11" t="s">
        <v>78</v>
      </c>
      <c r="I364" s="11" t="s">
        <v>154</v>
      </c>
      <c r="J364" s="11" t="s">
        <v>186</v>
      </c>
      <c r="K364" s="13" t="n">
        <v>489.31</v>
      </c>
      <c r="L364" s="11" t="n">
        <v>16</v>
      </c>
      <c r="M364" s="14" t="n">
        <v>0</v>
      </c>
      <c r="N364" s="13" t="n">
        <v>401.04</v>
      </c>
      <c r="O364" s="13" t="n">
        <f aca="false">K364*L364*(1-M364)</f>
        <v>7828.96</v>
      </c>
      <c r="P364" s="13" t="n">
        <f aca="false">N364*L364</f>
        <v>6416.64</v>
      </c>
      <c r="Q364" s="13" t="n">
        <f aca="false">O364-P364</f>
        <v>1412.32</v>
      </c>
      <c r="R364" s="11" t="s">
        <v>63</v>
      </c>
      <c r="S364" s="11" t="s">
        <v>47</v>
      </c>
    </row>
    <row r="365" customFormat="false" ht="15" hidden="false" customHeight="true" outlineLevel="0" collapsed="false">
      <c r="A365" s="15" t="s">
        <v>501</v>
      </c>
      <c r="B365" s="16" t="n">
        <v>45575</v>
      </c>
      <c r="C365" s="15" t="s">
        <v>38</v>
      </c>
      <c r="D365" s="15" t="s">
        <v>88</v>
      </c>
      <c r="E365" s="15" t="s">
        <v>89</v>
      </c>
      <c r="F365" s="15" t="s">
        <v>41</v>
      </c>
      <c r="G365" s="15" t="s">
        <v>52</v>
      </c>
      <c r="H365" s="15" t="s">
        <v>53</v>
      </c>
      <c r="I365" s="15" t="s">
        <v>69</v>
      </c>
      <c r="J365" s="15" t="s">
        <v>128</v>
      </c>
      <c r="K365" s="17" t="n">
        <v>18.44</v>
      </c>
      <c r="L365" s="15" t="n">
        <v>163</v>
      </c>
      <c r="M365" s="18" t="n">
        <v>0</v>
      </c>
      <c r="N365" s="17" t="n">
        <v>12.14</v>
      </c>
      <c r="O365" s="17" t="n">
        <f aca="false">K365*L365*(1-M365)</f>
        <v>3005.72</v>
      </c>
      <c r="P365" s="17" t="n">
        <f aca="false">N365*L365</f>
        <v>1978.82</v>
      </c>
      <c r="Q365" s="17" t="n">
        <f aca="false">O365-P365</f>
        <v>1026.9</v>
      </c>
      <c r="R365" s="15" t="s">
        <v>46</v>
      </c>
      <c r="S365" s="15" t="s">
        <v>47</v>
      </c>
    </row>
    <row r="366" customFormat="false" ht="15" hidden="false" customHeight="true" outlineLevel="0" collapsed="false">
      <c r="A366" s="11" t="s">
        <v>502</v>
      </c>
      <c r="B366" s="12" t="n">
        <v>45575</v>
      </c>
      <c r="C366" s="11" t="s">
        <v>74</v>
      </c>
      <c r="D366" s="11" t="s">
        <v>75</v>
      </c>
      <c r="E366" s="11" t="s">
        <v>76</v>
      </c>
      <c r="F366" s="11" t="s">
        <v>109</v>
      </c>
      <c r="G366" s="11" t="s">
        <v>42</v>
      </c>
      <c r="H366" s="11" t="s">
        <v>78</v>
      </c>
      <c r="I366" s="11" t="s">
        <v>120</v>
      </c>
      <c r="J366" s="11" t="s">
        <v>232</v>
      </c>
      <c r="K366" s="13" t="n">
        <v>181.29</v>
      </c>
      <c r="L366" s="11" t="n">
        <v>12</v>
      </c>
      <c r="M366" s="14" t="n">
        <v>0.05</v>
      </c>
      <c r="N366" s="13" t="n">
        <v>134.3</v>
      </c>
      <c r="O366" s="13" t="n">
        <f aca="false">K366*L366*(1-M366)</f>
        <v>2066.706</v>
      </c>
      <c r="P366" s="13" t="n">
        <f aca="false">N366*L366</f>
        <v>1611.6</v>
      </c>
      <c r="Q366" s="13" t="n">
        <f aca="false">O366-P366</f>
        <v>455.106</v>
      </c>
      <c r="R366" s="11" t="s">
        <v>46</v>
      </c>
      <c r="S366" s="11" t="s">
        <v>47</v>
      </c>
    </row>
    <row r="367" customFormat="false" ht="15" hidden="false" customHeight="true" outlineLevel="0" collapsed="false">
      <c r="A367" s="15" t="s">
        <v>503</v>
      </c>
      <c r="B367" s="16" t="n">
        <v>45576</v>
      </c>
      <c r="C367" s="15" t="s">
        <v>57</v>
      </c>
      <c r="D367" s="15" t="s">
        <v>58</v>
      </c>
      <c r="E367" s="15" t="s">
        <v>59</v>
      </c>
      <c r="F367" s="15" t="s">
        <v>68</v>
      </c>
      <c r="G367" s="15" t="s">
        <v>42</v>
      </c>
      <c r="H367" s="15" t="s">
        <v>84</v>
      </c>
      <c r="I367" s="15" t="s">
        <v>136</v>
      </c>
      <c r="J367" s="15" t="s">
        <v>137</v>
      </c>
      <c r="K367" s="17" t="n">
        <v>233.81</v>
      </c>
      <c r="L367" s="15" t="n">
        <v>6</v>
      </c>
      <c r="M367" s="18" t="n">
        <v>0.1</v>
      </c>
      <c r="N367" s="17" t="n">
        <v>178.91</v>
      </c>
      <c r="O367" s="17" t="n">
        <f aca="false">K367*L367*(1-M367)</f>
        <v>1262.574</v>
      </c>
      <c r="P367" s="17" t="n">
        <f aca="false">N367*L367</f>
        <v>1073.46</v>
      </c>
      <c r="Q367" s="17" t="n">
        <f aca="false">O367-P367</f>
        <v>189.114</v>
      </c>
      <c r="R367" s="15" t="s">
        <v>114</v>
      </c>
      <c r="S367" s="15" t="s">
        <v>187</v>
      </c>
    </row>
    <row r="368" customFormat="false" ht="15" hidden="false" customHeight="true" outlineLevel="0" collapsed="false">
      <c r="A368" s="11" t="s">
        <v>504</v>
      </c>
      <c r="B368" s="12" t="n">
        <v>45576</v>
      </c>
      <c r="C368" s="11" t="s">
        <v>57</v>
      </c>
      <c r="D368" s="11" t="s">
        <v>103</v>
      </c>
      <c r="E368" s="11" t="s">
        <v>104</v>
      </c>
      <c r="F368" s="11" t="s">
        <v>99</v>
      </c>
      <c r="G368" s="11" t="s">
        <v>42</v>
      </c>
      <c r="H368" s="11" t="s">
        <v>84</v>
      </c>
      <c r="I368" s="11" t="s">
        <v>85</v>
      </c>
      <c r="J368" s="11" t="s">
        <v>86</v>
      </c>
      <c r="K368" s="13" t="n">
        <v>473.2</v>
      </c>
      <c r="L368" s="11" t="n">
        <v>4</v>
      </c>
      <c r="M368" s="14" t="n">
        <v>0.05</v>
      </c>
      <c r="N368" s="13" t="n">
        <v>335.27</v>
      </c>
      <c r="O368" s="13" t="n">
        <f aca="false">K368*L368*(1-M368)</f>
        <v>1798.16</v>
      </c>
      <c r="P368" s="13" t="n">
        <f aca="false">N368*L368</f>
        <v>1341.08</v>
      </c>
      <c r="Q368" s="13" t="n">
        <f aca="false">O368-P368</f>
        <v>457.08</v>
      </c>
      <c r="R368" s="11" t="s">
        <v>71</v>
      </c>
      <c r="S368" s="11" t="s">
        <v>47</v>
      </c>
    </row>
    <row r="369" customFormat="false" ht="15" hidden="false" customHeight="true" outlineLevel="0" collapsed="false">
      <c r="A369" s="15" t="s">
        <v>505</v>
      </c>
      <c r="B369" s="16" t="n">
        <v>45576</v>
      </c>
      <c r="C369" s="15" t="s">
        <v>65</v>
      </c>
      <c r="D369" s="15" t="s">
        <v>116</v>
      </c>
      <c r="E369" s="15" t="s">
        <v>117</v>
      </c>
      <c r="F369" s="15" t="s">
        <v>118</v>
      </c>
      <c r="G369" s="15" t="s">
        <v>77</v>
      </c>
      <c r="H369" s="15" t="s">
        <v>53</v>
      </c>
      <c r="I369" s="15" t="s">
        <v>69</v>
      </c>
      <c r="J369" s="15" t="s">
        <v>128</v>
      </c>
      <c r="K369" s="17" t="n">
        <v>16.71</v>
      </c>
      <c r="L369" s="15" t="n">
        <v>200</v>
      </c>
      <c r="M369" s="18" t="n">
        <v>0</v>
      </c>
      <c r="N369" s="17" t="n">
        <v>10.88</v>
      </c>
      <c r="O369" s="17" t="n">
        <f aca="false">K369*L369*(1-M369)</f>
        <v>3342</v>
      </c>
      <c r="P369" s="17" t="n">
        <f aca="false">N369*L369</f>
        <v>2176</v>
      </c>
      <c r="Q369" s="17" t="n">
        <f aca="false">O369-P369</f>
        <v>1166</v>
      </c>
      <c r="R369" s="15" t="s">
        <v>63</v>
      </c>
      <c r="S369" s="15" t="s">
        <v>47</v>
      </c>
    </row>
    <row r="370" customFormat="false" ht="15" hidden="false" customHeight="true" outlineLevel="0" collapsed="false">
      <c r="A370" s="11" t="s">
        <v>506</v>
      </c>
      <c r="B370" s="12" t="n">
        <v>45576</v>
      </c>
      <c r="C370" s="11" t="s">
        <v>65</v>
      </c>
      <c r="D370" s="11" t="s">
        <v>82</v>
      </c>
      <c r="E370" s="11" t="s">
        <v>83</v>
      </c>
      <c r="F370" s="11" t="s">
        <v>41</v>
      </c>
      <c r="G370" s="11" t="s">
        <v>126</v>
      </c>
      <c r="H370" s="11" t="s">
        <v>53</v>
      </c>
      <c r="I370" s="11" t="s">
        <v>94</v>
      </c>
      <c r="J370" s="11" t="s">
        <v>131</v>
      </c>
      <c r="K370" s="13" t="n">
        <v>38.88</v>
      </c>
      <c r="L370" s="11" t="n">
        <v>54</v>
      </c>
      <c r="M370" s="14" t="n">
        <v>0.1</v>
      </c>
      <c r="N370" s="13" t="n">
        <v>26.28</v>
      </c>
      <c r="O370" s="13" t="n">
        <f aca="false">K370*L370*(1-M370)</f>
        <v>1889.568</v>
      </c>
      <c r="P370" s="13" t="n">
        <f aca="false">N370*L370</f>
        <v>1419.12</v>
      </c>
      <c r="Q370" s="13" t="n">
        <f aca="false">O370-P370</f>
        <v>470.448</v>
      </c>
      <c r="R370" s="11" t="s">
        <v>63</v>
      </c>
      <c r="S370" s="11" t="s">
        <v>47</v>
      </c>
    </row>
    <row r="371" customFormat="false" ht="15" hidden="false" customHeight="true" outlineLevel="0" collapsed="false">
      <c r="A371" s="15" t="s">
        <v>507</v>
      </c>
      <c r="B371" s="16" t="n">
        <v>45576</v>
      </c>
      <c r="C371" s="15" t="s">
        <v>38</v>
      </c>
      <c r="D371" s="15" t="s">
        <v>92</v>
      </c>
      <c r="E371" s="15" t="s">
        <v>93</v>
      </c>
      <c r="F371" s="15" t="s">
        <v>60</v>
      </c>
      <c r="G371" s="15" t="s">
        <v>42</v>
      </c>
      <c r="H371" s="15" t="s">
        <v>78</v>
      </c>
      <c r="I371" s="15" t="s">
        <v>79</v>
      </c>
      <c r="J371" s="15" t="s">
        <v>216</v>
      </c>
      <c r="K371" s="17" t="n">
        <v>4600.77</v>
      </c>
      <c r="L371" s="15" t="n">
        <v>5</v>
      </c>
      <c r="M371" s="18" t="n">
        <v>0</v>
      </c>
      <c r="N371" s="17" t="n">
        <v>3983.28</v>
      </c>
      <c r="O371" s="17" t="n">
        <f aca="false">K371*L371*(1-M371)</f>
        <v>23003.85</v>
      </c>
      <c r="P371" s="17" t="n">
        <f aca="false">N371*L371</f>
        <v>19916.4</v>
      </c>
      <c r="Q371" s="17" t="n">
        <f aca="false">O371-P371</f>
        <v>3087.45</v>
      </c>
      <c r="R371" s="15" t="s">
        <v>46</v>
      </c>
      <c r="S371" s="15" t="s">
        <v>47</v>
      </c>
    </row>
    <row r="372" customFormat="false" ht="15" hidden="false" customHeight="true" outlineLevel="0" collapsed="false">
      <c r="A372" s="11" t="s">
        <v>508</v>
      </c>
      <c r="B372" s="12" t="n">
        <v>45577</v>
      </c>
      <c r="C372" s="11" t="s">
        <v>57</v>
      </c>
      <c r="D372" s="11" t="s">
        <v>103</v>
      </c>
      <c r="E372" s="11" t="s">
        <v>104</v>
      </c>
      <c r="F372" s="11" t="s">
        <v>118</v>
      </c>
      <c r="G372" s="11" t="s">
        <v>77</v>
      </c>
      <c r="H372" s="11" t="s">
        <v>84</v>
      </c>
      <c r="I372" s="11" t="s">
        <v>136</v>
      </c>
      <c r="J372" s="11" t="s">
        <v>137</v>
      </c>
      <c r="K372" s="13" t="n">
        <v>186.95</v>
      </c>
      <c r="L372" s="11" t="n">
        <v>19</v>
      </c>
      <c r="M372" s="14" t="n">
        <v>0.1</v>
      </c>
      <c r="N372" s="13" t="n">
        <v>136.64</v>
      </c>
      <c r="O372" s="13" t="n">
        <f aca="false">K372*L372*(1-M372)</f>
        <v>3196.845</v>
      </c>
      <c r="P372" s="13" t="n">
        <f aca="false">N372*L372</f>
        <v>2596.16</v>
      </c>
      <c r="Q372" s="13" t="n">
        <f aca="false">O372-P372</f>
        <v>600.685</v>
      </c>
      <c r="R372" s="11" t="s">
        <v>46</v>
      </c>
      <c r="S372" s="11" t="s">
        <v>47</v>
      </c>
    </row>
    <row r="373" customFormat="false" ht="15" hidden="false" customHeight="true" outlineLevel="0" collapsed="false">
      <c r="A373" s="15" t="s">
        <v>509</v>
      </c>
      <c r="B373" s="16" t="n">
        <v>45578</v>
      </c>
      <c r="C373" s="15" t="s">
        <v>49</v>
      </c>
      <c r="D373" s="15" t="s">
        <v>152</v>
      </c>
      <c r="E373" s="15" t="s">
        <v>152</v>
      </c>
      <c r="F373" s="15" t="s">
        <v>60</v>
      </c>
      <c r="G373" s="15" t="s">
        <v>130</v>
      </c>
      <c r="H373" s="15" t="s">
        <v>43</v>
      </c>
      <c r="I373" s="15" t="s">
        <v>44</v>
      </c>
      <c r="J373" s="15" t="s">
        <v>45</v>
      </c>
      <c r="K373" s="17" t="n">
        <v>228.89</v>
      </c>
      <c r="L373" s="15" t="n">
        <v>47</v>
      </c>
      <c r="M373" s="18" t="n">
        <v>0</v>
      </c>
      <c r="N373" s="17" t="n">
        <v>67.96</v>
      </c>
      <c r="O373" s="17" t="n">
        <f aca="false">K373*L373*(1-M373)</f>
        <v>10757.83</v>
      </c>
      <c r="P373" s="17" t="n">
        <f aca="false">N373*L373</f>
        <v>3194.12</v>
      </c>
      <c r="Q373" s="17" t="n">
        <f aca="false">O373-P373</f>
        <v>7563.71</v>
      </c>
      <c r="R373" s="15" t="s">
        <v>71</v>
      </c>
      <c r="S373" s="15" t="s">
        <v>187</v>
      </c>
    </row>
    <row r="374" customFormat="false" ht="15" hidden="false" customHeight="true" outlineLevel="0" collapsed="false">
      <c r="A374" s="11" t="s">
        <v>510</v>
      </c>
      <c r="B374" s="12" t="n">
        <v>45580</v>
      </c>
      <c r="C374" s="11" t="s">
        <v>49</v>
      </c>
      <c r="D374" s="11" t="s">
        <v>97</v>
      </c>
      <c r="E374" s="11" t="s">
        <v>112</v>
      </c>
      <c r="F374" s="11" t="s">
        <v>109</v>
      </c>
      <c r="G374" s="11" t="s">
        <v>126</v>
      </c>
      <c r="H374" s="11" t="s">
        <v>43</v>
      </c>
      <c r="I374" s="11" t="s">
        <v>44</v>
      </c>
      <c r="J374" s="11" t="s">
        <v>106</v>
      </c>
      <c r="K374" s="13" t="n">
        <v>543.39</v>
      </c>
      <c r="L374" s="11" t="n">
        <v>60</v>
      </c>
      <c r="M374" s="14" t="n">
        <v>0.05</v>
      </c>
      <c r="N374" s="13" t="n">
        <v>208.68</v>
      </c>
      <c r="O374" s="13" t="n">
        <f aca="false">K374*L374*(1-M374)</f>
        <v>30973.23</v>
      </c>
      <c r="P374" s="13" t="n">
        <f aca="false">N374*L374</f>
        <v>12520.8</v>
      </c>
      <c r="Q374" s="13" t="n">
        <f aca="false">O374-P374</f>
        <v>18452.43</v>
      </c>
      <c r="R374" s="11" t="s">
        <v>46</v>
      </c>
      <c r="S374" s="11" t="s">
        <v>47</v>
      </c>
    </row>
    <row r="375" customFormat="false" ht="15" hidden="false" customHeight="true" outlineLevel="0" collapsed="false">
      <c r="A375" s="15" t="s">
        <v>511</v>
      </c>
      <c r="B375" s="16" t="n">
        <v>45581</v>
      </c>
      <c r="C375" s="15" t="s">
        <v>65</v>
      </c>
      <c r="D375" s="15" t="s">
        <v>82</v>
      </c>
      <c r="E375" s="15" t="s">
        <v>83</v>
      </c>
      <c r="F375" s="15" t="s">
        <v>177</v>
      </c>
      <c r="G375" s="15" t="s">
        <v>126</v>
      </c>
      <c r="H375" s="15" t="s">
        <v>53</v>
      </c>
      <c r="I375" s="15" t="s">
        <v>69</v>
      </c>
      <c r="J375" s="15" t="s">
        <v>70</v>
      </c>
      <c r="K375" s="17" t="n">
        <v>32.78</v>
      </c>
      <c r="L375" s="15" t="n">
        <v>57</v>
      </c>
      <c r="M375" s="18" t="n">
        <v>0</v>
      </c>
      <c r="N375" s="17" t="n">
        <v>20.65</v>
      </c>
      <c r="O375" s="17" t="n">
        <f aca="false">K375*L375*(1-M375)</f>
        <v>1868.46</v>
      </c>
      <c r="P375" s="17" t="n">
        <f aca="false">N375*L375</f>
        <v>1177.05</v>
      </c>
      <c r="Q375" s="17" t="n">
        <f aca="false">O375-P375</f>
        <v>691.41</v>
      </c>
      <c r="R375" s="15" t="s">
        <v>46</v>
      </c>
      <c r="S375" s="15" t="s">
        <v>124</v>
      </c>
    </row>
    <row r="376" customFormat="false" ht="15" hidden="false" customHeight="true" outlineLevel="0" collapsed="false">
      <c r="A376" s="11" t="s">
        <v>512</v>
      </c>
      <c r="B376" s="12" t="n">
        <v>45581</v>
      </c>
      <c r="C376" s="11" t="s">
        <v>65</v>
      </c>
      <c r="D376" s="11" t="s">
        <v>116</v>
      </c>
      <c r="E376" s="11" t="s">
        <v>117</v>
      </c>
      <c r="F376" s="11" t="s">
        <v>177</v>
      </c>
      <c r="G376" s="11" t="s">
        <v>52</v>
      </c>
      <c r="H376" s="11" t="s">
        <v>84</v>
      </c>
      <c r="I376" s="11" t="s">
        <v>136</v>
      </c>
      <c r="J376" s="11" t="s">
        <v>137</v>
      </c>
      <c r="K376" s="13" t="n">
        <v>313.48</v>
      </c>
      <c r="L376" s="11" t="n">
        <v>6</v>
      </c>
      <c r="M376" s="14" t="n">
        <v>0.1</v>
      </c>
      <c r="N376" s="13" t="n">
        <v>236.14</v>
      </c>
      <c r="O376" s="13" t="n">
        <f aca="false">K376*L376*(1-M376)</f>
        <v>1692.792</v>
      </c>
      <c r="P376" s="13" t="n">
        <f aca="false">N376*L376</f>
        <v>1416.84</v>
      </c>
      <c r="Q376" s="13" t="n">
        <f aca="false">O376-P376</f>
        <v>275.952</v>
      </c>
      <c r="R376" s="11" t="s">
        <v>63</v>
      </c>
      <c r="S376" s="11" t="s">
        <v>47</v>
      </c>
    </row>
    <row r="377" customFormat="false" ht="15" hidden="false" customHeight="true" outlineLevel="0" collapsed="false">
      <c r="A377" s="15" t="s">
        <v>513</v>
      </c>
      <c r="B377" s="16" t="n">
        <v>45581</v>
      </c>
      <c r="C377" s="15" t="s">
        <v>49</v>
      </c>
      <c r="D377" s="15" t="s">
        <v>97</v>
      </c>
      <c r="E377" s="15" t="s">
        <v>112</v>
      </c>
      <c r="F377" s="15" t="s">
        <v>109</v>
      </c>
      <c r="G377" s="15" t="s">
        <v>126</v>
      </c>
      <c r="H377" s="15" t="s">
        <v>78</v>
      </c>
      <c r="I377" s="15" t="s">
        <v>154</v>
      </c>
      <c r="J377" s="15" t="s">
        <v>186</v>
      </c>
      <c r="K377" s="17" t="n">
        <v>924.73</v>
      </c>
      <c r="L377" s="15" t="n">
        <v>8</v>
      </c>
      <c r="M377" s="18" t="n">
        <v>0</v>
      </c>
      <c r="N377" s="17" t="n">
        <v>771.91</v>
      </c>
      <c r="O377" s="17" t="n">
        <f aca="false">K377*L377*(1-M377)</f>
        <v>7397.84</v>
      </c>
      <c r="P377" s="17" t="n">
        <f aca="false">N377*L377</f>
        <v>6175.28</v>
      </c>
      <c r="Q377" s="17" t="n">
        <f aca="false">O377-P377</f>
        <v>1222.56</v>
      </c>
      <c r="R377" s="15" t="s">
        <v>63</v>
      </c>
      <c r="S377" s="15" t="s">
        <v>47</v>
      </c>
    </row>
    <row r="378" customFormat="false" ht="15" hidden="false" customHeight="true" outlineLevel="0" collapsed="false">
      <c r="A378" s="11" t="s">
        <v>514</v>
      </c>
      <c r="B378" s="12" t="n">
        <v>45581</v>
      </c>
      <c r="C378" s="11" t="s">
        <v>49</v>
      </c>
      <c r="D378" s="11" t="s">
        <v>97</v>
      </c>
      <c r="E378" s="11" t="s">
        <v>98</v>
      </c>
      <c r="F378" s="11" t="s">
        <v>177</v>
      </c>
      <c r="G378" s="11" t="s">
        <v>42</v>
      </c>
      <c r="H378" s="11" t="s">
        <v>43</v>
      </c>
      <c r="I378" s="11" t="s">
        <v>61</v>
      </c>
      <c r="J378" s="11" t="s">
        <v>62</v>
      </c>
      <c r="K378" s="13" t="n">
        <v>458.56</v>
      </c>
      <c r="L378" s="11" t="n">
        <v>10</v>
      </c>
      <c r="M378" s="14" t="n">
        <v>0.05</v>
      </c>
      <c r="N378" s="13" t="n">
        <v>205.28</v>
      </c>
      <c r="O378" s="13" t="n">
        <f aca="false">K378*L378*(1-M378)</f>
        <v>4356.32</v>
      </c>
      <c r="P378" s="13" t="n">
        <f aca="false">N378*L378</f>
        <v>2052.8</v>
      </c>
      <c r="Q378" s="13" t="n">
        <f aca="false">O378-P378</f>
        <v>2303.52</v>
      </c>
      <c r="R378" s="11" t="s">
        <v>114</v>
      </c>
      <c r="S378" s="11" t="s">
        <v>47</v>
      </c>
    </row>
    <row r="379" customFormat="false" ht="15" hidden="false" customHeight="true" outlineLevel="0" collapsed="false">
      <c r="A379" s="15" t="s">
        <v>515</v>
      </c>
      <c r="B379" s="16" t="n">
        <v>45582</v>
      </c>
      <c r="C379" s="15" t="s">
        <v>65</v>
      </c>
      <c r="D379" s="15" t="s">
        <v>82</v>
      </c>
      <c r="E379" s="15" t="s">
        <v>83</v>
      </c>
      <c r="F379" s="15" t="s">
        <v>99</v>
      </c>
      <c r="G379" s="15" t="s">
        <v>52</v>
      </c>
      <c r="H379" s="15" t="s">
        <v>43</v>
      </c>
      <c r="I379" s="15" t="s">
        <v>44</v>
      </c>
      <c r="J379" s="15" t="s">
        <v>106</v>
      </c>
      <c r="K379" s="17" t="n">
        <v>305.42</v>
      </c>
      <c r="L379" s="15" t="n">
        <v>14</v>
      </c>
      <c r="M379" s="18" t="n">
        <v>0.1</v>
      </c>
      <c r="N379" s="17" t="n">
        <v>125.19</v>
      </c>
      <c r="O379" s="17" t="n">
        <f aca="false">K379*L379*(1-M379)</f>
        <v>3848.292</v>
      </c>
      <c r="P379" s="17" t="n">
        <f aca="false">N379*L379</f>
        <v>1752.66</v>
      </c>
      <c r="Q379" s="17" t="n">
        <f aca="false">O379-P379</f>
        <v>2095.632</v>
      </c>
      <c r="R379" s="15" t="s">
        <v>46</v>
      </c>
      <c r="S379" s="15" t="s">
        <v>47</v>
      </c>
    </row>
    <row r="380" customFormat="false" ht="15" hidden="false" customHeight="true" outlineLevel="0" collapsed="false">
      <c r="A380" s="11" t="s">
        <v>516</v>
      </c>
      <c r="B380" s="12" t="n">
        <v>45582</v>
      </c>
      <c r="C380" s="11" t="s">
        <v>65</v>
      </c>
      <c r="D380" s="11" t="s">
        <v>149</v>
      </c>
      <c r="E380" s="11" t="s">
        <v>150</v>
      </c>
      <c r="F380" s="11" t="s">
        <v>177</v>
      </c>
      <c r="G380" s="11" t="s">
        <v>52</v>
      </c>
      <c r="H380" s="11" t="s">
        <v>53</v>
      </c>
      <c r="I380" s="11" t="s">
        <v>54</v>
      </c>
      <c r="J380" s="11" t="s">
        <v>55</v>
      </c>
      <c r="K380" s="13" t="n">
        <v>19.48</v>
      </c>
      <c r="L380" s="11" t="n">
        <v>175</v>
      </c>
      <c r="M380" s="14" t="n">
        <v>0</v>
      </c>
      <c r="N380" s="13" t="n">
        <v>13.36</v>
      </c>
      <c r="O380" s="13" t="n">
        <f aca="false">K380*L380*(1-M380)</f>
        <v>3409</v>
      </c>
      <c r="P380" s="13" t="n">
        <f aca="false">N380*L380</f>
        <v>2338</v>
      </c>
      <c r="Q380" s="13" t="n">
        <f aca="false">O380-P380</f>
        <v>1071</v>
      </c>
      <c r="R380" s="11" t="s">
        <v>46</v>
      </c>
      <c r="S380" s="11" t="s">
        <v>47</v>
      </c>
    </row>
    <row r="381" customFormat="false" ht="15" hidden="false" customHeight="true" outlineLevel="0" collapsed="false">
      <c r="A381" s="15" t="s">
        <v>517</v>
      </c>
      <c r="B381" s="16" t="n">
        <v>45583</v>
      </c>
      <c r="C381" s="15" t="s">
        <v>74</v>
      </c>
      <c r="D381" s="15" t="s">
        <v>171</v>
      </c>
      <c r="E381" s="15" t="s">
        <v>172</v>
      </c>
      <c r="F381" s="15" t="s">
        <v>177</v>
      </c>
      <c r="G381" s="15" t="s">
        <v>130</v>
      </c>
      <c r="H381" s="15" t="s">
        <v>78</v>
      </c>
      <c r="I381" s="15" t="s">
        <v>79</v>
      </c>
      <c r="J381" s="15" t="s">
        <v>242</v>
      </c>
      <c r="K381" s="17" t="n">
        <v>4139.79</v>
      </c>
      <c r="L381" s="15" t="n">
        <v>7</v>
      </c>
      <c r="M381" s="18" t="n">
        <v>0.1</v>
      </c>
      <c r="N381" s="17" t="n">
        <v>3402.8</v>
      </c>
      <c r="O381" s="17" t="n">
        <f aca="false">K381*L381*(1-M381)</f>
        <v>26080.677</v>
      </c>
      <c r="P381" s="17" t="n">
        <f aca="false">N381*L381</f>
        <v>23819.6</v>
      </c>
      <c r="Q381" s="17" t="n">
        <f aca="false">O381-P381</f>
        <v>2261.077</v>
      </c>
      <c r="R381" s="15" t="s">
        <v>114</v>
      </c>
      <c r="S381" s="15" t="s">
        <v>47</v>
      </c>
    </row>
    <row r="382" customFormat="false" ht="15" hidden="false" customHeight="true" outlineLevel="0" collapsed="false">
      <c r="A382" s="11" t="s">
        <v>518</v>
      </c>
      <c r="B382" s="12" t="n">
        <v>45583</v>
      </c>
      <c r="C382" s="11" t="s">
        <v>57</v>
      </c>
      <c r="D382" s="11" t="s">
        <v>58</v>
      </c>
      <c r="E382" s="11" t="s">
        <v>59</v>
      </c>
      <c r="F382" s="11" t="s">
        <v>68</v>
      </c>
      <c r="G382" s="11" t="s">
        <v>130</v>
      </c>
      <c r="H382" s="11" t="s">
        <v>43</v>
      </c>
      <c r="I382" s="11" t="s">
        <v>61</v>
      </c>
      <c r="J382" s="11" t="s">
        <v>62</v>
      </c>
      <c r="K382" s="13" t="n">
        <v>267.78</v>
      </c>
      <c r="L382" s="11" t="n">
        <v>10</v>
      </c>
      <c r="M382" s="14" t="n">
        <v>0</v>
      </c>
      <c r="N382" s="13" t="n">
        <v>113.03</v>
      </c>
      <c r="O382" s="13" t="n">
        <f aca="false">K382*L382*(1-M382)</f>
        <v>2677.8</v>
      </c>
      <c r="P382" s="13" t="n">
        <f aca="false">N382*L382</f>
        <v>1130.3</v>
      </c>
      <c r="Q382" s="13" t="n">
        <f aca="false">O382-P382</f>
        <v>1547.5</v>
      </c>
      <c r="R382" s="11" t="s">
        <v>63</v>
      </c>
      <c r="S382" s="11" t="s">
        <v>47</v>
      </c>
    </row>
    <row r="383" customFormat="false" ht="15" hidden="false" customHeight="true" outlineLevel="0" collapsed="false">
      <c r="A383" s="15" t="s">
        <v>519</v>
      </c>
      <c r="B383" s="16" t="n">
        <v>45584</v>
      </c>
      <c r="C383" s="15" t="s">
        <v>65</v>
      </c>
      <c r="D383" s="15" t="s">
        <v>149</v>
      </c>
      <c r="E383" s="15" t="s">
        <v>150</v>
      </c>
      <c r="F383" s="15" t="s">
        <v>177</v>
      </c>
      <c r="G383" s="15" t="s">
        <v>130</v>
      </c>
      <c r="H383" s="15" t="s">
        <v>53</v>
      </c>
      <c r="I383" s="15" t="s">
        <v>54</v>
      </c>
      <c r="J383" s="15" t="s">
        <v>113</v>
      </c>
      <c r="K383" s="17" t="n">
        <v>11.81</v>
      </c>
      <c r="L383" s="15" t="n">
        <v>136</v>
      </c>
      <c r="M383" s="18" t="n">
        <v>0</v>
      </c>
      <c r="N383" s="17" t="n">
        <v>8.14</v>
      </c>
      <c r="O383" s="17" t="n">
        <f aca="false">K383*L383*(1-M383)</f>
        <v>1606.16</v>
      </c>
      <c r="P383" s="17" t="n">
        <f aca="false">N383*L383</f>
        <v>1107.04</v>
      </c>
      <c r="Q383" s="17" t="n">
        <f aca="false">O383-P383</f>
        <v>499.12</v>
      </c>
      <c r="R383" s="15" t="s">
        <v>71</v>
      </c>
      <c r="S383" s="15" t="s">
        <v>47</v>
      </c>
    </row>
    <row r="384" customFormat="false" ht="15" hidden="false" customHeight="true" outlineLevel="0" collapsed="false">
      <c r="A384" s="11" t="s">
        <v>520</v>
      </c>
      <c r="B384" s="12" t="n">
        <v>45585</v>
      </c>
      <c r="C384" s="11" t="s">
        <v>49</v>
      </c>
      <c r="D384" s="11" t="s">
        <v>97</v>
      </c>
      <c r="E384" s="11" t="s">
        <v>98</v>
      </c>
      <c r="F384" s="11" t="s">
        <v>135</v>
      </c>
      <c r="G384" s="11" t="s">
        <v>77</v>
      </c>
      <c r="H384" s="11" t="s">
        <v>53</v>
      </c>
      <c r="I384" s="11" t="s">
        <v>54</v>
      </c>
      <c r="J384" s="11" t="s">
        <v>55</v>
      </c>
      <c r="K384" s="13" t="n">
        <v>20.56</v>
      </c>
      <c r="L384" s="11" t="n">
        <v>170</v>
      </c>
      <c r="M384" s="14" t="n">
        <v>0.05</v>
      </c>
      <c r="N384" s="13" t="n">
        <v>12.81</v>
      </c>
      <c r="O384" s="13" t="n">
        <f aca="false">K384*L384*(1-M384)</f>
        <v>3320.44</v>
      </c>
      <c r="P384" s="13" t="n">
        <f aca="false">N384*L384</f>
        <v>2177.7</v>
      </c>
      <c r="Q384" s="13" t="n">
        <f aca="false">O384-P384</f>
        <v>1142.74</v>
      </c>
      <c r="R384" s="11" t="s">
        <v>63</v>
      </c>
      <c r="S384" s="11" t="s">
        <v>47</v>
      </c>
    </row>
    <row r="385" customFormat="false" ht="15" hidden="false" customHeight="true" outlineLevel="0" collapsed="false">
      <c r="A385" s="15" t="s">
        <v>521</v>
      </c>
      <c r="B385" s="16" t="n">
        <v>45586</v>
      </c>
      <c r="C385" s="15" t="s">
        <v>49</v>
      </c>
      <c r="D385" s="15" t="s">
        <v>152</v>
      </c>
      <c r="E385" s="15" t="s">
        <v>152</v>
      </c>
      <c r="F385" s="15" t="s">
        <v>123</v>
      </c>
      <c r="G385" s="15" t="s">
        <v>130</v>
      </c>
      <c r="H385" s="15" t="s">
        <v>78</v>
      </c>
      <c r="I385" s="15" t="s">
        <v>120</v>
      </c>
      <c r="J385" s="15" t="s">
        <v>232</v>
      </c>
      <c r="K385" s="17" t="n">
        <v>210.02</v>
      </c>
      <c r="L385" s="15" t="n">
        <v>41</v>
      </c>
      <c r="M385" s="18" t="n">
        <v>0</v>
      </c>
      <c r="N385" s="17" t="n">
        <v>156.71</v>
      </c>
      <c r="O385" s="17" t="n">
        <f aca="false">K385*L385*(1-M385)</f>
        <v>8610.82</v>
      </c>
      <c r="P385" s="17" t="n">
        <f aca="false">N385*L385</f>
        <v>6425.11</v>
      </c>
      <c r="Q385" s="17" t="n">
        <f aca="false">O385-P385</f>
        <v>2185.71</v>
      </c>
      <c r="R385" s="15" t="s">
        <v>63</v>
      </c>
      <c r="S385" s="15" t="s">
        <v>47</v>
      </c>
    </row>
    <row r="386" customFormat="false" ht="15" hidden="false" customHeight="true" outlineLevel="0" collapsed="false">
      <c r="A386" s="11" t="s">
        <v>522</v>
      </c>
      <c r="B386" s="12" t="n">
        <v>45586</v>
      </c>
      <c r="C386" s="11" t="s">
        <v>38</v>
      </c>
      <c r="D386" s="11" t="s">
        <v>39</v>
      </c>
      <c r="E386" s="11" t="s">
        <v>40</v>
      </c>
      <c r="F386" s="11" t="s">
        <v>41</v>
      </c>
      <c r="G386" s="11" t="s">
        <v>42</v>
      </c>
      <c r="H386" s="11" t="s">
        <v>78</v>
      </c>
      <c r="I386" s="11" t="s">
        <v>143</v>
      </c>
      <c r="J386" s="11" t="s">
        <v>158</v>
      </c>
      <c r="K386" s="13" t="n">
        <v>687.25</v>
      </c>
      <c r="L386" s="11" t="n">
        <v>17</v>
      </c>
      <c r="M386" s="14" t="n">
        <v>0.1</v>
      </c>
      <c r="N386" s="13" t="n">
        <v>566.23</v>
      </c>
      <c r="O386" s="13" t="n">
        <f aca="false">K386*L386*(1-M386)</f>
        <v>10514.925</v>
      </c>
      <c r="P386" s="13" t="n">
        <f aca="false">N386*L386</f>
        <v>9625.91</v>
      </c>
      <c r="Q386" s="13" t="n">
        <f aca="false">O386-P386</f>
        <v>889.015000000001</v>
      </c>
      <c r="R386" s="11" t="s">
        <v>63</v>
      </c>
      <c r="S386" s="11" t="s">
        <v>124</v>
      </c>
    </row>
    <row r="387" customFormat="false" ht="15" hidden="false" customHeight="true" outlineLevel="0" collapsed="false">
      <c r="A387" s="15" t="s">
        <v>523</v>
      </c>
      <c r="B387" s="16" t="n">
        <v>45586</v>
      </c>
      <c r="C387" s="15" t="s">
        <v>49</v>
      </c>
      <c r="D387" s="15" t="s">
        <v>50</v>
      </c>
      <c r="E387" s="15" t="s">
        <v>50</v>
      </c>
      <c r="F387" s="15" t="s">
        <v>68</v>
      </c>
      <c r="G387" s="15" t="s">
        <v>130</v>
      </c>
      <c r="H387" s="15" t="s">
        <v>84</v>
      </c>
      <c r="I387" s="15" t="s">
        <v>100</v>
      </c>
      <c r="J387" s="15" t="s">
        <v>139</v>
      </c>
      <c r="K387" s="17" t="n">
        <v>637.27</v>
      </c>
      <c r="L387" s="15" t="n">
        <v>1</v>
      </c>
      <c r="M387" s="18" t="n">
        <v>0.15</v>
      </c>
      <c r="N387" s="17" t="n">
        <v>461.57</v>
      </c>
      <c r="O387" s="17" t="n">
        <f aca="false">K387*L387*(1-M387)</f>
        <v>541.6795</v>
      </c>
      <c r="P387" s="17" t="n">
        <f aca="false">N387*L387</f>
        <v>461.57</v>
      </c>
      <c r="Q387" s="17" t="n">
        <f aca="false">O387-P387</f>
        <v>80.1095</v>
      </c>
      <c r="R387" s="15" t="s">
        <v>114</v>
      </c>
      <c r="S387" s="15" t="s">
        <v>47</v>
      </c>
    </row>
    <row r="388" customFormat="false" ht="15" hidden="false" customHeight="true" outlineLevel="0" collapsed="false">
      <c r="A388" s="11" t="s">
        <v>524</v>
      </c>
      <c r="B388" s="12" t="n">
        <v>45588</v>
      </c>
      <c r="C388" s="11" t="s">
        <v>65</v>
      </c>
      <c r="D388" s="11" t="s">
        <v>66</v>
      </c>
      <c r="E388" s="11" t="s">
        <v>67</v>
      </c>
      <c r="F388" s="11" t="s">
        <v>41</v>
      </c>
      <c r="G388" s="11" t="s">
        <v>77</v>
      </c>
      <c r="H388" s="11" t="s">
        <v>53</v>
      </c>
      <c r="I388" s="11" t="s">
        <v>94</v>
      </c>
      <c r="J388" s="11" t="s">
        <v>95</v>
      </c>
      <c r="K388" s="13" t="n">
        <v>21.65</v>
      </c>
      <c r="L388" s="11" t="n">
        <v>73</v>
      </c>
      <c r="M388" s="14" t="n">
        <v>0</v>
      </c>
      <c r="N388" s="13" t="n">
        <v>15.07</v>
      </c>
      <c r="O388" s="13" t="n">
        <f aca="false">K388*L388*(1-M388)</f>
        <v>1580.45</v>
      </c>
      <c r="P388" s="13" t="n">
        <f aca="false">N388*L388</f>
        <v>1100.11</v>
      </c>
      <c r="Q388" s="13" t="n">
        <f aca="false">O388-P388</f>
        <v>480.34</v>
      </c>
      <c r="R388" s="11" t="s">
        <v>46</v>
      </c>
      <c r="S388" s="11" t="s">
        <v>47</v>
      </c>
    </row>
    <row r="389" customFormat="false" ht="15" hidden="false" customHeight="true" outlineLevel="0" collapsed="false">
      <c r="A389" s="15" t="s">
        <v>525</v>
      </c>
      <c r="B389" s="16" t="n">
        <v>45588</v>
      </c>
      <c r="C389" s="15" t="s">
        <v>49</v>
      </c>
      <c r="D389" s="15" t="s">
        <v>97</v>
      </c>
      <c r="E389" s="15" t="s">
        <v>108</v>
      </c>
      <c r="F389" s="15" t="s">
        <v>60</v>
      </c>
      <c r="G389" s="15" t="s">
        <v>52</v>
      </c>
      <c r="H389" s="15" t="s">
        <v>78</v>
      </c>
      <c r="I389" s="15" t="s">
        <v>120</v>
      </c>
      <c r="J389" s="15" t="s">
        <v>121</v>
      </c>
      <c r="K389" s="17" t="n">
        <v>382.19</v>
      </c>
      <c r="L389" s="15" t="n">
        <v>30</v>
      </c>
      <c r="M389" s="18" t="n">
        <v>0.05</v>
      </c>
      <c r="N389" s="17" t="n">
        <v>290.94</v>
      </c>
      <c r="O389" s="17" t="n">
        <f aca="false">K389*L389*(1-M389)</f>
        <v>10892.415</v>
      </c>
      <c r="P389" s="17" t="n">
        <f aca="false">N389*L389</f>
        <v>8728.2</v>
      </c>
      <c r="Q389" s="17" t="n">
        <f aca="false">O389-P389</f>
        <v>2164.215</v>
      </c>
      <c r="R389" s="15" t="s">
        <v>46</v>
      </c>
      <c r="S389" s="15" t="s">
        <v>47</v>
      </c>
    </row>
    <row r="390" customFormat="false" ht="15" hidden="false" customHeight="true" outlineLevel="0" collapsed="false">
      <c r="A390" s="11" t="s">
        <v>526</v>
      </c>
      <c r="B390" s="12" t="n">
        <v>45588</v>
      </c>
      <c r="C390" s="11" t="s">
        <v>49</v>
      </c>
      <c r="D390" s="11" t="s">
        <v>97</v>
      </c>
      <c r="E390" s="11" t="s">
        <v>108</v>
      </c>
      <c r="F390" s="11" t="s">
        <v>177</v>
      </c>
      <c r="G390" s="11" t="s">
        <v>126</v>
      </c>
      <c r="H390" s="11" t="s">
        <v>53</v>
      </c>
      <c r="I390" s="11" t="s">
        <v>54</v>
      </c>
      <c r="J390" s="11" t="s">
        <v>113</v>
      </c>
      <c r="K390" s="13" t="n">
        <v>15.74</v>
      </c>
      <c r="L390" s="11" t="n">
        <v>141</v>
      </c>
      <c r="M390" s="14" t="n">
        <v>0.15</v>
      </c>
      <c r="N390" s="13" t="n">
        <v>9.3</v>
      </c>
      <c r="O390" s="13" t="n">
        <f aca="false">K390*L390*(1-M390)</f>
        <v>1886.439</v>
      </c>
      <c r="P390" s="13" t="n">
        <f aca="false">N390*L390</f>
        <v>1311.3</v>
      </c>
      <c r="Q390" s="13" t="n">
        <f aca="false">O390-P390</f>
        <v>575.139</v>
      </c>
      <c r="R390" s="11" t="s">
        <v>46</v>
      </c>
      <c r="S390" s="11" t="s">
        <v>47</v>
      </c>
    </row>
    <row r="391" customFormat="false" ht="15" hidden="false" customHeight="true" outlineLevel="0" collapsed="false">
      <c r="A391" s="15" t="s">
        <v>527</v>
      </c>
      <c r="B391" s="16" t="n">
        <v>45589</v>
      </c>
      <c r="C391" s="15" t="s">
        <v>38</v>
      </c>
      <c r="D391" s="15" t="s">
        <v>92</v>
      </c>
      <c r="E391" s="15" t="s">
        <v>93</v>
      </c>
      <c r="F391" s="15" t="s">
        <v>99</v>
      </c>
      <c r="G391" s="15" t="s">
        <v>130</v>
      </c>
      <c r="H391" s="15" t="s">
        <v>78</v>
      </c>
      <c r="I391" s="15" t="s">
        <v>154</v>
      </c>
      <c r="J391" s="15" t="s">
        <v>186</v>
      </c>
      <c r="K391" s="17" t="n">
        <v>637.64</v>
      </c>
      <c r="L391" s="15" t="n">
        <v>9</v>
      </c>
      <c r="M391" s="18" t="n">
        <v>0.1</v>
      </c>
      <c r="N391" s="17" t="n">
        <v>514.69</v>
      </c>
      <c r="O391" s="17" t="n">
        <f aca="false">K391*L391*(1-M391)</f>
        <v>5164.884</v>
      </c>
      <c r="P391" s="17" t="n">
        <f aca="false">N391*L391</f>
        <v>4632.21</v>
      </c>
      <c r="Q391" s="17" t="n">
        <f aca="false">O391-P391</f>
        <v>532.673999999999</v>
      </c>
      <c r="R391" s="15" t="s">
        <v>63</v>
      </c>
      <c r="S391" s="15" t="s">
        <v>47</v>
      </c>
    </row>
    <row r="392" customFormat="false" ht="15" hidden="false" customHeight="true" outlineLevel="0" collapsed="false">
      <c r="A392" s="11" t="s">
        <v>528</v>
      </c>
      <c r="B392" s="12" t="n">
        <v>45589</v>
      </c>
      <c r="C392" s="11" t="s">
        <v>65</v>
      </c>
      <c r="D392" s="11" t="s">
        <v>82</v>
      </c>
      <c r="E392" s="11" t="s">
        <v>83</v>
      </c>
      <c r="F392" s="11" t="s">
        <v>135</v>
      </c>
      <c r="G392" s="11" t="s">
        <v>126</v>
      </c>
      <c r="H392" s="11" t="s">
        <v>53</v>
      </c>
      <c r="I392" s="11" t="s">
        <v>94</v>
      </c>
      <c r="J392" s="11" t="s">
        <v>131</v>
      </c>
      <c r="K392" s="13" t="n">
        <v>53.91</v>
      </c>
      <c r="L392" s="11" t="n">
        <v>17</v>
      </c>
      <c r="M392" s="14" t="n">
        <v>0.15</v>
      </c>
      <c r="N392" s="13" t="n">
        <v>37.09</v>
      </c>
      <c r="O392" s="13" t="n">
        <f aca="false">K392*L392*(1-M392)</f>
        <v>778.9995</v>
      </c>
      <c r="P392" s="13" t="n">
        <f aca="false">N392*L392</f>
        <v>630.53</v>
      </c>
      <c r="Q392" s="13" t="n">
        <f aca="false">O392-P392</f>
        <v>148.4695</v>
      </c>
      <c r="R392" s="11" t="s">
        <v>63</v>
      </c>
      <c r="S392" s="11" t="s">
        <v>47</v>
      </c>
    </row>
    <row r="393" customFormat="false" ht="15" hidden="false" customHeight="true" outlineLevel="0" collapsed="false">
      <c r="A393" s="15" t="s">
        <v>529</v>
      </c>
      <c r="B393" s="16" t="n">
        <v>45590</v>
      </c>
      <c r="C393" s="15" t="s">
        <v>49</v>
      </c>
      <c r="D393" s="15" t="s">
        <v>97</v>
      </c>
      <c r="E393" s="15" t="s">
        <v>98</v>
      </c>
      <c r="F393" s="15" t="s">
        <v>60</v>
      </c>
      <c r="G393" s="15" t="s">
        <v>52</v>
      </c>
      <c r="H393" s="15" t="s">
        <v>78</v>
      </c>
      <c r="I393" s="15" t="s">
        <v>154</v>
      </c>
      <c r="J393" s="15" t="s">
        <v>186</v>
      </c>
      <c r="K393" s="17" t="n">
        <v>786.1</v>
      </c>
      <c r="L393" s="15" t="n">
        <v>18</v>
      </c>
      <c r="M393" s="18" t="n">
        <v>0</v>
      </c>
      <c r="N393" s="17" t="n">
        <v>622.53</v>
      </c>
      <c r="O393" s="17" t="n">
        <f aca="false">K393*L393*(1-M393)</f>
        <v>14149.8</v>
      </c>
      <c r="P393" s="17" t="n">
        <f aca="false">N393*L393</f>
        <v>11205.54</v>
      </c>
      <c r="Q393" s="17" t="n">
        <f aca="false">O393-P393</f>
        <v>2944.26</v>
      </c>
      <c r="R393" s="15" t="s">
        <v>46</v>
      </c>
      <c r="S393" s="15" t="s">
        <v>47</v>
      </c>
    </row>
    <row r="394" customFormat="false" ht="15" hidden="false" customHeight="true" outlineLevel="0" collapsed="false">
      <c r="A394" s="11" t="s">
        <v>530</v>
      </c>
      <c r="B394" s="12" t="n">
        <v>45590</v>
      </c>
      <c r="C394" s="11" t="s">
        <v>49</v>
      </c>
      <c r="D394" s="11" t="s">
        <v>97</v>
      </c>
      <c r="E394" s="11" t="s">
        <v>108</v>
      </c>
      <c r="F394" s="11" t="s">
        <v>99</v>
      </c>
      <c r="G394" s="11" t="s">
        <v>130</v>
      </c>
      <c r="H394" s="11" t="s">
        <v>53</v>
      </c>
      <c r="I394" s="11" t="s">
        <v>54</v>
      </c>
      <c r="J394" s="11" t="s">
        <v>113</v>
      </c>
      <c r="K394" s="13" t="n">
        <v>12.14</v>
      </c>
      <c r="L394" s="11" t="n">
        <v>58</v>
      </c>
      <c r="M394" s="14" t="n">
        <v>0</v>
      </c>
      <c r="N394" s="13" t="n">
        <v>8.62</v>
      </c>
      <c r="O394" s="13" t="n">
        <f aca="false">K394*L394*(1-M394)</f>
        <v>704.12</v>
      </c>
      <c r="P394" s="13" t="n">
        <f aca="false">N394*L394</f>
        <v>499.96</v>
      </c>
      <c r="Q394" s="13" t="n">
        <f aca="false">O394-P394</f>
        <v>204.16</v>
      </c>
      <c r="R394" s="11" t="s">
        <v>63</v>
      </c>
      <c r="S394" s="11" t="s">
        <v>47</v>
      </c>
    </row>
    <row r="395" customFormat="false" ht="15" hidden="false" customHeight="true" outlineLevel="0" collapsed="false">
      <c r="A395" s="15" t="s">
        <v>531</v>
      </c>
      <c r="B395" s="16" t="n">
        <v>45590</v>
      </c>
      <c r="C395" s="15" t="s">
        <v>49</v>
      </c>
      <c r="D395" s="15" t="s">
        <v>50</v>
      </c>
      <c r="E395" s="15" t="s">
        <v>50</v>
      </c>
      <c r="F395" s="15" t="s">
        <v>118</v>
      </c>
      <c r="G395" s="15" t="s">
        <v>126</v>
      </c>
      <c r="H395" s="15" t="s">
        <v>78</v>
      </c>
      <c r="I395" s="15" t="s">
        <v>120</v>
      </c>
      <c r="J395" s="15" t="s">
        <v>232</v>
      </c>
      <c r="K395" s="17" t="n">
        <v>352.65</v>
      </c>
      <c r="L395" s="15" t="n">
        <v>56</v>
      </c>
      <c r="M395" s="18" t="n">
        <v>0</v>
      </c>
      <c r="N395" s="17" t="n">
        <v>251.31</v>
      </c>
      <c r="O395" s="17" t="n">
        <f aca="false">K395*L395*(1-M395)</f>
        <v>19748.4</v>
      </c>
      <c r="P395" s="17" t="n">
        <f aca="false">N395*L395</f>
        <v>14073.36</v>
      </c>
      <c r="Q395" s="17" t="n">
        <f aca="false">O395-P395</f>
        <v>5675.04</v>
      </c>
      <c r="R395" s="15" t="s">
        <v>114</v>
      </c>
      <c r="S395" s="15" t="s">
        <v>72</v>
      </c>
    </row>
    <row r="396" customFormat="false" ht="15" hidden="false" customHeight="true" outlineLevel="0" collapsed="false">
      <c r="A396" s="11" t="s">
        <v>532</v>
      </c>
      <c r="B396" s="12" t="n">
        <v>45591</v>
      </c>
      <c r="C396" s="11" t="s">
        <v>49</v>
      </c>
      <c r="D396" s="11" t="s">
        <v>97</v>
      </c>
      <c r="E396" s="11" t="s">
        <v>98</v>
      </c>
      <c r="F396" s="11" t="s">
        <v>51</v>
      </c>
      <c r="G396" s="11" t="s">
        <v>126</v>
      </c>
      <c r="H396" s="11" t="s">
        <v>53</v>
      </c>
      <c r="I396" s="11" t="s">
        <v>94</v>
      </c>
      <c r="J396" s="11" t="s">
        <v>95</v>
      </c>
      <c r="K396" s="13" t="n">
        <v>31.75</v>
      </c>
      <c r="L396" s="11" t="n">
        <v>39</v>
      </c>
      <c r="M396" s="14" t="n">
        <v>0.1</v>
      </c>
      <c r="N396" s="13" t="n">
        <v>21.38</v>
      </c>
      <c r="O396" s="13" t="n">
        <f aca="false">K396*L396*(1-M396)</f>
        <v>1114.425</v>
      </c>
      <c r="P396" s="13" t="n">
        <f aca="false">N396*L396</f>
        <v>833.82</v>
      </c>
      <c r="Q396" s="13" t="n">
        <f aca="false">O396-P396</f>
        <v>280.605</v>
      </c>
      <c r="R396" s="11" t="s">
        <v>46</v>
      </c>
      <c r="S396" s="11" t="s">
        <v>72</v>
      </c>
    </row>
    <row r="397" customFormat="false" ht="15" hidden="false" customHeight="true" outlineLevel="0" collapsed="false">
      <c r="A397" s="15" t="s">
        <v>533</v>
      </c>
      <c r="B397" s="16" t="n">
        <v>45592</v>
      </c>
      <c r="C397" s="15" t="s">
        <v>57</v>
      </c>
      <c r="D397" s="15" t="s">
        <v>103</v>
      </c>
      <c r="E397" s="15" t="s">
        <v>104</v>
      </c>
      <c r="F397" s="15" t="s">
        <v>99</v>
      </c>
      <c r="G397" s="15" t="s">
        <v>77</v>
      </c>
      <c r="H397" s="15" t="s">
        <v>53</v>
      </c>
      <c r="I397" s="15" t="s">
        <v>94</v>
      </c>
      <c r="J397" s="15" t="s">
        <v>131</v>
      </c>
      <c r="K397" s="17" t="n">
        <v>48.14</v>
      </c>
      <c r="L397" s="15" t="n">
        <v>42</v>
      </c>
      <c r="M397" s="18" t="n">
        <v>0.05</v>
      </c>
      <c r="N397" s="17" t="n">
        <v>33.41</v>
      </c>
      <c r="O397" s="17" t="n">
        <f aca="false">K397*L397*(1-M397)</f>
        <v>1920.786</v>
      </c>
      <c r="P397" s="17" t="n">
        <f aca="false">N397*L397</f>
        <v>1403.22</v>
      </c>
      <c r="Q397" s="17" t="n">
        <f aca="false">O397-P397</f>
        <v>517.566</v>
      </c>
      <c r="R397" s="15" t="s">
        <v>63</v>
      </c>
      <c r="S397" s="15" t="s">
        <v>187</v>
      </c>
    </row>
    <row r="398" customFormat="false" ht="15" hidden="false" customHeight="true" outlineLevel="0" collapsed="false">
      <c r="A398" s="11" t="s">
        <v>534</v>
      </c>
      <c r="B398" s="12" t="n">
        <v>45593</v>
      </c>
      <c r="C398" s="11" t="s">
        <v>38</v>
      </c>
      <c r="D398" s="11" t="s">
        <v>39</v>
      </c>
      <c r="E398" s="11" t="s">
        <v>40</v>
      </c>
      <c r="F398" s="11" t="s">
        <v>68</v>
      </c>
      <c r="G398" s="11" t="s">
        <v>77</v>
      </c>
      <c r="H398" s="11" t="s">
        <v>78</v>
      </c>
      <c r="I398" s="11" t="s">
        <v>154</v>
      </c>
      <c r="J398" s="11" t="s">
        <v>186</v>
      </c>
      <c r="K398" s="13" t="n">
        <v>797.27</v>
      </c>
      <c r="L398" s="11" t="n">
        <v>6</v>
      </c>
      <c r="M398" s="14" t="n">
        <v>0</v>
      </c>
      <c r="N398" s="13" t="n">
        <v>624.07</v>
      </c>
      <c r="O398" s="13" t="n">
        <f aca="false">K398*L398*(1-M398)</f>
        <v>4783.62</v>
      </c>
      <c r="P398" s="13" t="n">
        <f aca="false">N398*L398</f>
        <v>3744.42</v>
      </c>
      <c r="Q398" s="13" t="n">
        <f aca="false">O398-P398</f>
        <v>1039.2</v>
      </c>
      <c r="R398" s="11" t="s">
        <v>114</v>
      </c>
      <c r="S398" s="11" t="s">
        <v>47</v>
      </c>
    </row>
    <row r="399" customFormat="false" ht="15" hidden="false" customHeight="true" outlineLevel="0" collapsed="false">
      <c r="A399" s="15" t="s">
        <v>535</v>
      </c>
      <c r="B399" s="16" t="n">
        <v>45593</v>
      </c>
      <c r="C399" s="15" t="s">
        <v>49</v>
      </c>
      <c r="D399" s="15" t="s">
        <v>97</v>
      </c>
      <c r="E399" s="15" t="s">
        <v>108</v>
      </c>
      <c r="F399" s="15" t="s">
        <v>41</v>
      </c>
      <c r="G399" s="15" t="s">
        <v>130</v>
      </c>
      <c r="H399" s="15" t="s">
        <v>43</v>
      </c>
      <c r="I399" s="15" t="s">
        <v>44</v>
      </c>
      <c r="J399" s="15" t="s">
        <v>106</v>
      </c>
      <c r="K399" s="17" t="n">
        <v>434.89</v>
      </c>
      <c r="L399" s="15" t="n">
        <v>52</v>
      </c>
      <c r="M399" s="18" t="n">
        <v>0</v>
      </c>
      <c r="N399" s="17" t="n">
        <v>174.69</v>
      </c>
      <c r="O399" s="17" t="n">
        <f aca="false">K399*L399*(1-M399)</f>
        <v>22614.28</v>
      </c>
      <c r="P399" s="17" t="n">
        <f aca="false">N399*L399</f>
        <v>9083.88</v>
      </c>
      <c r="Q399" s="17" t="n">
        <f aca="false">O399-P399</f>
        <v>13530.4</v>
      </c>
      <c r="R399" s="15" t="s">
        <v>114</v>
      </c>
      <c r="S399" s="15" t="s">
        <v>47</v>
      </c>
    </row>
    <row r="400" customFormat="false" ht="15" hidden="false" customHeight="true" outlineLevel="0" collapsed="false">
      <c r="A400" s="11" t="s">
        <v>536</v>
      </c>
      <c r="B400" s="12" t="n">
        <v>45593</v>
      </c>
      <c r="C400" s="11" t="s">
        <v>38</v>
      </c>
      <c r="D400" s="11" t="s">
        <v>92</v>
      </c>
      <c r="E400" s="11" t="s">
        <v>93</v>
      </c>
      <c r="F400" s="11" t="s">
        <v>109</v>
      </c>
      <c r="G400" s="11" t="s">
        <v>42</v>
      </c>
      <c r="H400" s="11" t="s">
        <v>43</v>
      </c>
      <c r="I400" s="11" t="s">
        <v>44</v>
      </c>
      <c r="J400" s="11" t="s">
        <v>45</v>
      </c>
      <c r="K400" s="13" t="n">
        <v>244.44</v>
      </c>
      <c r="L400" s="11" t="n">
        <v>4</v>
      </c>
      <c r="M400" s="14" t="n">
        <v>0.2</v>
      </c>
      <c r="N400" s="13" t="n">
        <v>80.76</v>
      </c>
      <c r="O400" s="13" t="n">
        <f aca="false">K400*L400*(1-M400)</f>
        <v>782.208</v>
      </c>
      <c r="P400" s="13" t="n">
        <f aca="false">N400*L400</f>
        <v>323.04</v>
      </c>
      <c r="Q400" s="13" t="n">
        <f aca="false">O400-P400</f>
        <v>459.168</v>
      </c>
      <c r="R400" s="11" t="s">
        <v>63</v>
      </c>
      <c r="S400" s="11" t="s">
        <v>47</v>
      </c>
    </row>
    <row r="401" customFormat="false" ht="15" hidden="false" customHeight="true" outlineLevel="0" collapsed="false">
      <c r="A401" s="15" t="s">
        <v>537</v>
      </c>
      <c r="B401" s="16" t="n">
        <v>45594</v>
      </c>
      <c r="C401" s="15" t="s">
        <v>57</v>
      </c>
      <c r="D401" s="15" t="s">
        <v>58</v>
      </c>
      <c r="E401" s="15" t="s">
        <v>59</v>
      </c>
      <c r="F401" s="15" t="s">
        <v>99</v>
      </c>
      <c r="G401" s="15" t="s">
        <v>52</v>
      </c>
      <c r="H401" s="15" t="s">
        <v>53</v>
      </c>
      <c r="I401" s="15" t="s">
        <v>94</v>
      </c>
      <c r="J401" s="15" t="s">
        <v>95</v>
      </c>
      <c r="K401" s="17" t="n">
        <v>33.42</v>
      </c>
      <c r="L401" s="15" t="n">
        <v>107</v>
      </c>
      <c r="M401" s="18" t="n">
        <v>0.05</v>
      </c>
      <c r="N401" s="17" t="n">
        <v>21.54</v>
      </c>
      <c r="O401" s="17" t="n">
        <f aca="false">K401*L401*(1-M401)</f>
        <v>3397.143</v>
      </c>
      <c r="P401" s="17" t="n">
        <f aca="false">N401*L401</f>
        <v>2304.78</v>
      </c>
      <c r="Q401" s="17" t="n">
        <f aca="false">O401-P401</f>
        <v>1092.363</v>
      </c>
      <c r="R401" s="15" t="s">
        <v>114</v>
      </c>
      <c r="S401" s="15" t="s">
        <v>47</v>
      </c>
    </row>
    <row r="402" customFormat="false" ht="15" hidden="false" customHeight="true" outlineLevel="0" collapsed="false">
      <c r="A402" s="11" t="s">
        <v>538</v>
      </c>
      <c r="B402" s="12" t="n">
        <v>45594</v>
      </c>
      <c r="C402" s="11" t="s">
        <v>65</v>
      </c>
      <c r="D402" s="11" t="s">
        <v>116</v>
      </c>
      <c r="E402" s="11" t="s">
        <v>117</v>
      </c>
      <c r="F402" s="11" t="s">
        <v>60</v>
      </c>
      <c r="G402" s="11" t="s">
        <v>42</v>
      </c>
      <c r="H402" s="11" t="s">
        <v>78</v>
      </c>
      <c r="I402" s="11" t="s">
        <v>79</v>
      </c>
      <c r="J402" s="11" t="s">
        <v>242</v>
      </c>
      <c r="K402" s="13" t="n">
        <v>4870.46</v>
      </c>
      <c r="L402" s="11" t="n">
        <v>11</v>
      </c>
      <c r="M402" s="14" t="n">
        <v>0.05</v>
      </c>
      <c r="N402" s="13" t="n">
        <v>4266.31</v>
      </c>
      <c r="O402" s="13" t="n">
        <f aca="false">K402*L402*(1-M402)</f>
        <v>50896.307</v>
      </c>
      <c r="P402" s="13" t="n">
        <f aca="false">N402*L402</f>
        <v>46929.41</v>
      </c>
      <c r="Q402" s="13" t="n">
        <f aca="false">O402-P402</f>
        <v>3966.89699999999</v>
      </c>
      <c r="R402" s="11" t="s">
        <v>114</v>
      </c>
      <c r="S402" s="11" t="s">
        <v>47</v>
      </c>
    </row>
    <row r="403" customFormat="false" ht="15" hidden="false" customHeight="true" outlineLevel="0" collapsed="false">
      <c r="A403" s="15" t="s">
        <v>539</v>
      </c>
      <c r="B403" s="16" t="n">
        <v>45594</v>
      </c>
      <c r="C403" s="15" t="s">
        <v>65</v>
      </c>
      <c r="D403" s="15" t="s">
        <v>66</v>
      </c>
      <c r="E403" s="15" t="s">
        <v>67</v>
      </c>
      <c r="F403" s="15" t="s">
        <v>99</v>
      </c>
      <c r="G403" s="15" t="s">
        <v>126</v>
      </c>
      <c r="H403" s="15" t="s">
        <v>53</v>
      </c>
      <c r="I403" s="15" t="s">
        <v>54</v>
      </c>
      <c r="J403" s="15" t="s">
        <v>55</v>
      </c>
      <c r="K403" s="17" t="n">
        <v>25.66</v>
      </c>
      <c r="L403" s="15" t="n">
        <v>168</v>
      </c>
      <c r="M403" s="18" t="n">
        <v>0.15</v>
      </c>
      <c r="N403" s="17" t="n">
        <v>17.67</v>
      </c>
      <c r="O403" s="17" t="n">
        <f aca="false">K403*L403*(1-M403)</f>
        <v>3664.248</v>
      </c>
      <c r="P403" s="17" t="n">
        <f aca="false">N403*L403</f>
        <v>2968.56</v>
      </c>
      <c r="Q403" s="17" t="n">
        <f aca="false">O403-P403</f>
        <v>695.688</v>
      </c>
      <c r="R403" s="15" t="s">
        <v>46</v>
      </c>
      <c r="S403" s="15" t="s">
        <v>47</v>
      </c>
    </row>
    <row r="404" customFormat="false" ht="15" hidden="false" customHeight="true" outlineLevel="0" collapsed="false">
      <c r="A404" s="11" t="s">
        <v>540</v>
      </c>
      <c r="B404" s="12" t="n">
        <v>45594</v>
      </c>
      <c r="C404" s="11" t="s">
        <v>49</v>
      </c>
      <c r="D404" s="11" t="s">
        <v>152</v>
      </c>
      <c r="E404" s="11" t="s">
        <v>152</v>
      </c>
      <c r="F404" s="11" t="s">
        <v>109</v>
      </c>
      <c r="G404" s="11" t="s">
        <v>52</v>
      </c>
      <c r="H404" s="11" t="s">
        <v>78</v>
      </c>
      <c r="I404" s="11" t="s">
        <v>120</v>
      </c>
      <c r="J404" s="11" t="s">
        <v>235</v>
      </c>
      <c r="K404" s="13" t="n">
        <v>134.39</v>
      </c>
      <c r="L404" s="11" t="n">
        <v>116</v>
      </c>
      <c r="M404" s="14" t="n">
        <v>0.1</v>
      </c>
      <c r="N404" s="13" t="n">
        <v>95.17</v>
      </c>
      <c r="O404" s="13" t="n">
        <f aca="false">K404*L404*(1-M404)</f>
        <v>14030.316</v>
      </c>
      <c r="P404" s="13" t="n">
        <f aca="false">N404*L404</f>
        <v>11039.72</v>
      </c>
      <c r="Q404" s="13" t="n">
        <f aca="false">O404-P404</f>
        <v>2990.596</v>
      </c>
      <c r="R404" s="11" t="s">
        <v>46</v>
      </c>
      <c r="S404" s="11" t="s">
        <v>47</v>
      </c>
    </row>
    <row r="405" customFormat="false" ht="15" hidden="false" customHeight="true" outlineLevel="0" collapsed="false">
      <c r="A405" s="15" t="s">
        <v>541</v>
      </c>
      <c r="B405" s="16" t="n">
        <v>45594</v>
      </c>
      <c r="C405" s="15" t="s">
        <v>65</v>
      </c>
      <c r="D405" s="15" t="s">
        <v>82</v>
      </c>
      <c r="E405" s="15" t="s">
        <v>83</v>
      </c>
      <c r="F405" s="15" t="s">
        <v>109</v>
      </c>
      <c r="G405" s="15" t="s">
        <v>52</v>
      </c>
      <c r="H405" s="15" t="s">
        <v>78</v>
      </c>
      <c r="I405" s="15" t="s">
        <v>120</v>
      </c>
      <c r="J405" s="15" t="s">
        <v>232</v>
      </c>
      <c r="K405" s="17" t="n">
        <v>186.1</v>
      </c>
      <c r="L405" s="15" t="n">
        <v>70</v>
      </c>
      <c r="M405" s="18" t="n">
        <v>0</v>
      </c>
      <c r="N405" s="17" t="n">
        <v>132.59</v>
      </c>
      <c r="O405" s="17" t="n">
        <f aca="false">K405*L405*(1-M405)</f>
        <v>13027</v>
      </c>
      <c r="P405" s="17" t="n">
        <f aca="false">N405*L405</f>
        <v>9281.3</v>
      </c>
      <c r="Q405" s="17" t="n">
        <f aca="false">O405-P405</f>
        <v>3745.7</v>
      </c>
      <c r="R405" s="15" t="s">
        <v>71</v>
      </c>
      <c r="S405" s="15" t="s">
        <v>47</v>
      </c>
    </row>
    <row r="406" customFormat="false" ht="15" hidden="false" customHeight="true" outlineLevel="0" collapsed="false">
      <c r="A406" s="11" t="s">
        <v>542</v>
      </c>
      <c r="B406" s="12" t="n">
        <v>45596</v>
      </c>
      <c r="C406" s="11" t="s">
        <v>49</v>
      </c>
      <c r="D406" s="11" t="s">
        <v>152</v>
      </c>
      <c r="E406" s="11" t="s">
        <v>152</v>
      </c>
      <c r="F406" s="11" t="s">
        <v>60</v>
      </c>
      <c r="G406" s="11" t="s">
        <v>42</v>
      </c>
      <c r="H406" s="11" t="s">
        <v>84</v>
      </c>
      <c r="I406" s="11" t="s">
        <v>136</v>
      </c>
      <c r="J406" s="11" t="s">
        <v>137</v>
      </c>
      <c r="K406" s="13" t="n">
        <v>265.13</v>
      </c>
      <c r="L406" s="11" t="n">
        <v>38</v>
      </c>
      <c r="M406" s="14" t="n">
        <v>0</v>
      </c>
      <c r="N406" s="13" t="n">
        <v>185.85</v>
      </c>
      <c r="O406" s="13" t="n">
        <f aca="false">K406*L406*(1-M406)</f>
        <v>10074.94</v>
      </c>
      <c r="P406" s="13" t="n">
        <f aca="false">N406*L406</f>
        <v>7062.3</v>
      </c>
      <c r="Q406" s="13" t="n">
        <f aca="false">O406-P406</f>
        <v>3012.64</v>
      </c>
      <c r="R406" s="11" t="s">
        <v>114</v>
      </c>
      <c r="S406" s="11" t="s">
        <v>47</v>
      </c>
    </row>
    <row r="407" customFormat="false" ht="15" hidden="false" customHeight="true" outlineLevel="0" collapsed="false">
      <c r="A407" s="15" t="s">
        <v>543</v>
      </c>
      <c r="B407" s="16" t="n">
        <v>45597</v>
      </c>
      <c r="C407" s="15" t="s">
        <v>65</v>
      </c>
      <c r="D407" s="15" t="s">
        <v>66</v>
      </c>
      <c r="E407" s="15" t="s">
        <v>67</v>
      </c>
      <c r="F407" s="15" t="s">
        <v>51</v>
      </c>
      <c r="G407" s="15" t="s">
        <v>42</v>
      </c>
      <c r="H407" s="15" t="s">
        <v>53</v>
      </c>
      <c r="I407" s="15" t="s">
        <v>94</v>
      </c>
      <c r="J407" s="15" t="s">
        <v>131</v>
      </c>
      <c r="K407" s="17" t="n">
        <v>37.03</v>
      </c>
      <c r="L407" s="15" t="n">
        <v>46</v>
      </c>
      <c r="M407" s="18" t="n">
        <v>0.15</v>
      </c>
      <c r="N407" s="17" t="n">
        <v>25.81</v>
      </c>
      <c r="O407" s="17" t="n">
        <f aca="false">K407*L407*(1-M407)</f>
        <v>1447.873</v>
      </c>
      <c r="P407" s="17" t="n">
        <f aca="false">N407*L407</f>
        <v>1187.26</v>
      </c>
      <c r="Q407" s="17" t="n">
        <f aca="false">O407-P407</f>
        <v>260.613</v>
      </c>
      <c r="R407" s="15" t="s">
        <v>46</v>
      </c>
      <c r="S407" s="15" t="s">
        <v>47</v>
      </c>
    </row>
    <row r="408" customFormat="false" ht="15" hidden="false" customHeight="true" outlineLevel="0" collapsed="false">
      <c r="A408" s="11" t="s">
        <v>544</v>
      </c>
      <c r="B408" s="12" t="n">
        <v>45597</v>
      </c>
      <c r="C408" s="11" t="s">
        <v>49</v>
      </c>
      <c r="D408" s="11" t="s">
        <v>97</v>
      </c>
      <c r="E408" s="11" t="s">
        <v>98</v>
      </c>
      <c r="F408" s="11" t="s">
        <v>135</v>
      </c>
      <c r="G408" s="11" t="s">
        <v>126</v>
      </c>
      <c r="H408" s="11" t="s">
        <v>43</v>
      </c>
      <c r="I408" s="11" t="s">
        <v>44</v>
      </c>
      <c r="J408" s="11" t="s">
        <v>45</v>
      </c>
      <c r="K408" s="13" t="n">
        <v>179.84</v>
      </c>
      <c r="L408" s="11" t="n">
        <v>75</v>
      </c>
      <c r="M408" s="14" t="n">
        <v>0.1</v>
      </c>
      <c r="N408" s="13" t="n">
        <v>66.8</v>
      </c>
      <c r="O408" s="13" t="n">
        <f aca="false">K408*L408*(1-M408)</f>
        <v>12139.2</v>
      </c>
      <c r="P408" s="13" t="n">
        <f aca="false">N408*L408</f>
        <v>5010</v>
      </c>
      <c r="Q408" s="13" t="n">
        <f aca="false">O408-P408</f>
        <v>7129.2</v>
      </c>
      <c r="R408" s="11" t="s">
        <v>63</v>
      </c>
      <c r="S408" s="11" t="s">
        <v>47</v>
      </c>
    </row>
    <row r="409" customFormat="false" ht="15" hidden="false" customHeight="true" outlineLevel="0" collapsed="false">
      <c r="A409" s="15" t="s">
        <v>545</v>
      </c>
      <c r="B409" s="16" t="n">
        <v>45598</v>
      </c>
      <c r="C409" s="15" t="s">
        <v>38</v>
      </c>
      <c r="D409" s="15" t="s">
        <v>88</v>
      </c>
      <c r="E409" s="15" t="s">
        <v>89</v>
      </c>
      <c r="F409" s="15" t="s">
        <v>177</v>
      </c>
      <c r="G409" s="15" t="s">
        <v>52</v>
      </c>
      <c r="H409" s="15" t="s">
        <v>53</v>
      </c>
      <c r="I409" s="15" t="s">
        <v>94</v>
      </c>
      <c r="J409" s="15" t="s">
        <v>131</v>
      </c>
      <c r="K409" s="17" t="n">
        <v>24.19</v>
      </c>
      <c r="L409" s="15" t="n">
        <v>24</v>
      </c>
      <c r="M409" s="18" t="n">
        <v>0</v>
      </c>
      <c r="N409" s="17" t="n">
        <v>13.42</v>
      </c>
      <c r="O409" s="17" t="n">
        <f aca="false">K409*L409*(1-M409)</f>
        <v>580.56</v>
      </c>
      <c r="P409" s="17" t="n">
        <f aca="false">N409*L409</f>
        <v>322.08</v>
      </c>
      <c r="Q409" s="17" t="n">
        <f aca="false">O409-P409</f>
        <v>258.48</v>
      </c>
      <c r="R409" s="15" t="s">
        <v>71</v>
      </c>
      <c r="S409" s="15" t="s">
        <v>47</v>
      </c>
    </row>
    <row r="410" customFormat="false" ht="15" hidden="false" customHeight="true" outlineLevel="0" collapsed="false">
      <c r="A410" s="11" t="s">
        <v>546</v>
      </c>
      <c r="B410" s="12" t="n">
        <v>45598</v>
      </c>
      <c r="C410" s="11" t="s">
        <v>57</v>
      </c>
      <c r="D410" s="11" t="s">
        <v>103</v>
      </c>
      <c r="E410" s="11" t="s">
        <v>104</v>
      </c>
      <c r="F410" s="11" t="s">
        <v>41</v>
      </c>
      <c r="G410" s="11" t="s">
        <v>52</v>
      </c>
      <c r="H410" s="11" t="s">
        <v>53</v>
      </c>
      <c r="I410" s="11" t="s">
        <v>94</v>
      </c>
      <c r="J410" s="11" t="s">
        <v>95</v>
      </c>
      <c r="K410" s="13" t="n">
        <v>21.36</v>
      </c>
      <c r="L410" s="11" t="n">
        <v>100</v>
      </c>
      <c r="M410" s="14" t="n">
        <v>0</v>
      </c>
      <c r="N410" s="13" t="n">
        <v>12.9</v>
      </c>
      <c r="O410" s="13" t="n">
        <f aca="false">K410*L410*(1-M410)</f>
        <v>2136</v>
      </c>
      <c r="P410" s="13" t="n">
        <f aca="false">N410*L410</f>
        <v>1290</v>
      </c>
      <c r="Q410" s="13" t="n">
        <f aca="false">O410-P410</f>
        <v>846</v>
      </c>
      <c r="R410" s="11" t="s">
        <v>167</v>
      </c>
      <c r="S410" s="11" t="s">
        <v>47</v>
      </c>
    </row>
    <row r="411" customFormat="false" ht="15" hidden="false" customHeight="true" outlineLevel="0" collapsed="false">
      <c r="A411" s="15" t="s">
        <v>547</v>
      </c>
      <c r="B411" s="16" t="n">
        <v>45598</v>
      </c>
      <c r="C411" s="15" t="s">
        <v>65</v>
      </c>
      <c r="D411" s="15" t="s">
        <v>149</v>
      </c>
      <c r="E411" s="15" t="s">
        <v>150</v>
      </c>
      <c r="F411" s="15" t="s">
        <v>51</v>
      </c>
      <c r="G411" s="15" t="s">
        <v>42</v>
      </c>
      <c r="H411" s="15" t="s">
        <v>78</v>
      </c>
      <c r="I411" s="15" t="s">
        <v>154</v>
      </c>
      <c r="J411" s="15" t="s">
        <v>186</v>
      </c>
      <c r="K411" s="17" t="n">
        <v>863.78</v>
      </c>
      <c r="L411" s="15" t="n">
        <v>14</v>
      </c>
      <c r="M411" s="18" t="n">
        <v>0</v>
      </c>
      <c r="N411" s="17" t="n">
        <v>726.57</v>
      </c>
      <c r="O411" s="17" t="n">
        <f aca="false">K411*L411*(1-M411)</f>
        <v>12092.92</v>
      </c>
      <c r="P411" s="17" t="n">
        <f aca="false">N411*L411</f>
        <v>10171.98</v>
      </c>
      <c r="Q411" s="17" t="n">
        <f aca="false">O411-P411</f>
        <v>1920.94</v>
      </c>
      <c r="R411" s="15" t="s">
        <v>46</v>
      </c>
      <c r="S411" s="15" t="s">
        <v>47</v>
      </c>
    </row>
    <row r="412" customFormat="false" ht="15" hidden="false" customHeight="true" outlineLevel="0" collapsed="false">
      <c r="A412" s="11" t="s">
        <v>548</v>
      </c>
      <c r="B412" s="12" t="n">
        <v>45599</v>
      </c>
      <c r="C412" s="11" t="s">
        <v>74</v>
      </c>
      <c r="D412" s="11" t="s">
        <v>171</v>
      </c>
      <c r="E412" s="11" t="s">
        <v>172</v>
      </c>
      <c r="F412" s="11" t="s">
        <v>177</v>
      </c>
      <c r="G412" s="11" t="s">
        <v>52</v>
      </c>
      <c r="H412" s="11" t="s">
        <v>53</v>
      </c>
      <c r="I412" s="11" t="s">
        <v>94</v>
      </c>
      <c r="J412" s="11" t="s">
        <v>95</v>
      </c>
      <c r="K412" s="13" t="n">
        <v>28.38</v>
      </c>
      <c r="L412" s="11" t="n">
        <v>86</v>
      </c>
      <c r="M412" s="14" t="n">
        <v>0</v>
      </c>
      <c r="N412" s="13" t="n">
        <v>16.21</v>
      </c>
      <c r="O412" s="13" t="n">
        <f aca="false">K412*L412*(1-M412)</f>
        <v>2440.68</v>
      </c>
      <c r="P412" s="13" t="n">
        <f aca="false">N412*L412</f>
        <v>1394.06</v>
      </c>
      <c r="Q412" s="13" t="n">
        <f aca="false">O412-P412</f>
        <v>1046.62</v>
      </c>
      <c r="R412" s="11" t="s">
        <v>114</v>
      </c>
      <c r="S412" s="11" t="s">
        <v>47</v>
      </c>
    </row>
    <row r="413" customFormat="false" ht="15" hidden="false" customHeight="true" outlineLevel="0" collapsed="false">
      <c r="A413" s="15" t="s">
        <v>549</v>
      </c>
      <c r="B413" s="16" t="n">
        <v>45599</v>
      </c>
      <c r="C413" s="15" t="s">
        <v>49</v>
      </c>
      <c r="D413" s="15" t="s">
        <v>50</v>
      </c>
      <c r="E413" s="15" t="s">
        <v>50</v>
      </c>
      <c r="F413" s="15" t="s">
        <v>41</v>
      </c>
      <c r="G413" s="15" t="s">
        <v>52</v>
      </c>
      <c r="H413" s="15" t="s">
        <v>84</v>
      </c>
      <c r="I413" s="15" t="s">
        <v>85</v>
      </c>
      <c r="J413" s="15" t="s">
        <v>90</v>
      </c>
      <c r="K413" s="17" t="n">
        <v>368.43</v>
      </c>
      <c r="L413" s="15" t="n">
        <v>14</v>
      </c>
      <c r="M413" s="18" t="n">
        <v>0</v>
      </c>
      <c r="N413" s="17" t="n">
        <v>275.62</v>
      </c>
      <c r="O413" s="17" t="n">
        <f aca="false">K413*L413*(1-M413)</f>
        <v>5158.02</v>
      </c>
      <c r="P413" s="17" t="n">
        <f aca="false">N413*L413</f>
        <v>3858.68</v>
      </c>
      <c r="Q413" s="17" t="n">
        <f aca="false">O413-P413</f>
        <v>1299.34</v>
      </c>
      <c r="R413" s="15" t="s">
        <v>46</v>
      </c>
      <c r="S413" s="15" t="s">
        <v>124</v>
      </c>
    </row>
    <row r="414" customFormat="false" ht="15" hidden="false" customHeight="true" outlineLevel="0" collapsed="false">
      <c r="A414" s="11" t="s">
        <v>550</v>
      </c>
      <c r="B414" s="12" t="n">
        <v>45600</v>
      </c>
      <c r="C414" s="11" t="s">
        <v>49</v>
      </c>
      <c r="D414" s="11" t="s">
        <v>50</v>
      </c>
      <c r="E414" s="11" t="s">
        <v>50</v>
      </c>
      <c r="F414" s="11" t="s">
        <v>41</v>
      </c>
      <c r="G414" s="11" t="s">
        <v>77</v>
      </c>
      <c r="H414" s="11" t="s">
        <v>84</v>
      </c>
      <c r="I414" s="11" t="s">
        <v>100</v>
      </c>
      <c r="J414" s="11" t="s">
        <v>101</v>
      </c>
      <c r="K414" s="13" t="n">
        <v>1706.45</v>
      </c>
      <c r="L414" s="11" t="n">
        <v>10</v>
      </c>
      <c r="M414" s="14" t="n">
        <v>0</v>
      </c>
      <c r="N414" s="13" t="n">
        <v>1280.28</v>
      </c>
      <c r="O414" s="13" t="n">
        <f aca="false">K414*L414*(1-M414)</f>
        <v>17064.5</v>
      </c>
      <c r="P414" s="13" t="n">
        <f aca="false">N414*L414</f>
        <v>12802.8</v>
      </c>
      <c r="Q414" s="13" t="n">
        <f aca="false">O414-P414</f>
        <v>4261.7</v>
      </c>
      <c r="R414" s="11" t="s">
        <v>46</v>
      </c>
      <c r="S414" s="11" t="s">
        <v>47</v>
      </c>
    </row>
    <row r="415" customFormat="false" ht="15" hidden="false" customHeight="true" outlineLevel="0" collapsed="false">
      <c r="A415" s="15" t="s">
        <v>551</v>
      </c>
      <c r="B415" s="16" t="n">
        <v>45600</v>
      </c>
      <c r="C415" s="15" t="s">
        <v>57</v>
      </c>
      <c r="D415" s="15" t="s">
        <v>103</v>
      </c>
      <c r="E415" s="15" t="s">
        <v>104</v>
      </c>
      <c r="F415" s="15" t="s">
        <v>118</v>
      </c>
      <c r="G415" s="15" t="s">
        <v>42</v>
      </c>
      <c r="H415" s="15" t="s">
        <v>78</v>
      </c>
      <c r="I415" s="15" t="s">
        <v>79</v>
      </c>
      <c r="J415" s="15" t="s">
        <v>242</v>
      </c>
      <c r="K415" s="17" t="n">
        <v>5157.27</v>
      </c>
      <c r="L415" s="15" t="n">
        <v>4</v>
      </c>
      <c r="M415" s="18" t="n">
        <v>0.05</v>
      </c>
      <c r="N415" s="17" t="n">
        <v>4184.25</v>
      </c>
      <c r="O415" s="17" t="n">
        <f aca="false">K415*L415*(1-M415)</f>
        <v>19597.626</v>
      </c>
      <c r="P415" s="17" t="n">
        <f aca="false">N415*L415</f>
        <v>16737</v>
      </c>
      <c r="Q415" s="17" t="n">
        <f aca="false">O415-P415</f>
        <v>2860.626</v>
      </c>
      <c r="R415" s="15" t="s">
        <v>63</v>
      </c>
      <c r="S415" s="15" t="s">
        <v>47</v>
      </c>
    </row>
    <row r="416" customFormat="false" ht="15" hidden="false" customHeight="true" outlineLevel="0" collapsed="false">
      <c r="A416" s="11" t="s">
        <v>552</v>
      </c>
      <c r="B416" s="12" t="n">
        <v>45601</v>
      </c>
      <c r="C416" s="11" t="s">
        <v>74</v>
      </c>
      <c r="D416" s="11" t="s">
        <v>75</v>
      </c>
      <c r="E416" s="11" t="s">
        <v>76</v>
      </c>
      <c r="F416" s="11" t="s">
        <v>99</v>
      </c>
      <c r="G416" s="11" t="s">
        <v>77</v>
      </c>
      <c r="H416" s="11" t="s">
        <v>43</v>
      </c>
      <c r="I416" s="11" t="s">
        <v>44</v>
      </c>
      <c r="J416" s="11" t="s">
        <v>45</v>
      </c>
      <c r="K416" s="13" t="n">
        <v>165.12</v>
      </c>
      <c r="L416" s="11" t="n">
        <v>45</v>
      </c>
      <c r="M416" s="14" t="n">
        <v>0.15</v>
      </c>
      <c r="N416" s="13" t="n">
        <v>59.72</v>
      </c>
      <c r="O416" s="13" t="n">
        <f aca="false">K416*L416*(1-M416)</f>
        <v>6315.84</v>
      </c>
      <c r="P416" s="13" t="n">
        <f aca="false">N416*L416</f>
        <v>2687.4</v>
      </c>
      <c r="Q416" s="13" t="n">
        <f aca="false">O416-P416</f>
        <v>3628.44</v>
      </c>
      <c r="R416" s="11" t="s">
        <v>46</v>
      </c>
      <c r="S416" s="11" t="s">
        <v>47</v>
      </c>
    </row>
    <row r="417" customFormat="false" ht="15" hidden="false" customHeight="true" outlineLevel="0" collapsed="false">
      <c r="A417" s="15" t="s">
        <v>553</v>
      </c>
      <c r="B417" s="16" t="n">
        <v>45601</v>
      </c>
      <c r="C417" s="15" t="s">
        <v>49</v>
      </c>
      <c r="D417" s="15" t="s">
        <v>97</v>
      </c>
      <c r="E417" s="15" t="s">
        <v>108</v>
      </c>
      <c r="F417" s="15" t="s">
        <v>123</v>
      </c>
      <c r="G417" s="15" t="s">
        <v>126</v>
      </c>
      <c r="H417" s="15" t="s">
        <v>84</v>
      </c>
      <c r="I417" s="15" t="s">
        <v>136</v>
      </c>
      <c r="J417" s="15" t="s">
        <v>137</v>
      </c>
      <c r="K417" s="17" t="n">
        <v>301.44</v>
      </c>
      <c r="L417" s="15" t="n">
        <v>32</v>
      </c>
      <c r="M417" s="18" t="n">
        <v>0.15</v>
      </c>
      <c r="N417" s="17" t="n">
        <v>215.65</v>
      </c>
      <c r="O417" s="17" t="n">
        <f aca="false">K417*L417*(1-M417)</f>
        <v>8199.168</v>
      </c>
      <c r="P417" s="17" t="n">
        <f aca="false">N417*L417</f>
        <v>6900.8</v>
      </c>
      <c r="Q417" s="17" t="n">
        <f aca="false">O417-P417</f>
        <v>1298.368</v>
      </c>
      <c r="R417" s="15" t="s">
        <v>46</v>
      </c>
      <c r="S417" s="15" t="s">
        <v>47</v>
      </c>
    </row>
    <row r="418" customFormat="false" ht="15" hidden="false" customHeight="true" outlineLevel="0" collapsed="false">
      <c r="A418" s="11" t="s">
        <v>554</v>
      </c>
      <c r="B418" s="12" t="n">
        <v>45601</v>
      </c>
      <c r="C418" s="11" t="s">
        <v>49</v>
      </c>
      <c r="D418" s="11" t="s">
        <v>97</v>
      </c>
      <c r="E418" s="11" t="s">
        <v>112</v>
      </c>
      <c r="F418" s="11" t="s">
        <v>60</v>
      </c>
      <c r="G418" s="11" t="s">
        <v>52</v>
      </c>
      <c r="H418" s="11" t="s">
        <v>53</v>
      </c>
      <c r="I418" s="11" t="s">
        <v>54</v>
      </c>
      <c r="J418" s="11" t="s">
        <v>113</v>
      </c>
      <c r="K418" s="13" t="n">
        <v>17.43</v>
      </c>
      <c r="L418" s="11" t="n">
        <v>60</v>
      </c>
      <c r="M418" s="14" t="n">
        <v>0.05</v>
      </c>
      <c r="N418" s="13" t="n">
        <v>11.12</v>
      </c>
      <c r="O418" s="13" t="n">
        <f aca="false">K418*L418*(1-M418)</f>
        <v>993.51</v>
      </c>
      <c r="P418" s="13" t="n">
        <f aca="false">N418*L418</f>
        <v>667.2</v>
      </c>
      <c r="Q418" s="13" t="n">
        <f aca="false">O418-P418</f>
        <v>326.31</v>
      </c>
      <c r="R418" s="11" t="s">
        <v>46</v>
      </c>
      <c r="S418" s="11" t="s">
        <v>187</v>
      </c>
    </row>
    <row r="419" customFormat="false" ht="15" hidden="false" customHeight="true" outlineLevel="0" collapsed="false">
      <c r="A419" s="15" t="s">
        <v>555</v>
      </c>
      <c r="B419" s="16" t="n">
        <v>45602</v>
      </c>
      <c r="C419" s="15" t="s">
        <v>49</v>
      </c>
      <c r="D419" s="15" t="s">
        <v>152</v>
      </c>
      <c r="E419" s="15" t="s">
        <v>152</v>
      </c>
      <c r="F419" s="15" t="s">
        <v>51</v>
      </c>
      <c r="G419" s="15" t="s">
        <v>42</v>
      </c>
      <c r="H419" s="15" t="s">
        <v>53</v>
      </c>
      <c r="I419" s="15" t="s">
        <v>69</v>
      </c>
      <c r="J419" s="15" t="s">
        <v>70</v>
      </c>
      <c r="K419" s="17" t="n">
        <v>29.92</v>
      </c>
      <c r="L419" s="15" t="n">
        <v>146</v>
      </c>
      <c r="M419" s="18" t="n">
        <v>0.05</v>
      </c>
      <c r="N419" s="17" t="n">
        <v>20.26</v>
      </c>
      <c r="O419" s="17" t="n">
        <f aca="false">K419*L419*(1-M419)</f>
        <v>4149.904</v>
      </c>
      <c r="P419" s="17" t="n">
        <f aca="false">N419*L419</f>
        <v>2957.96</v>
      </c>
      <c r="Q419" s="17" t="n">
        <f aca="false">O419-P419</f>
        <v>1191.944</v>
      </c>
      <c r="R419" s="15" t="s">
        <v>167</v>
      </c>
      <c r="S419" s="15" t="s">
        <v>47</v>
      </c>
    </row>
    <row r="420" customFormat="false" ht="15" hidden="false" customHeight="true" outlineLevel="0" collapsed="false">
      <c r="A420" s="11" t="s">
        <v>556</v>
      </c>
      <c r="B420" s="12" t="n">
        <v>45602</v>
      </c>
      <c r="C420" s="11" t="s">
        <v>49</v>
      </c>
      <c r="D420" s="11" t="s">
        <v>50</v>
      </c>
      <c r="E420" s="11" t="s">
        <v>50</v>
      </c>
      <c r="F420" s="11" t="s">
        <v>118</v>
      </c>
      <c r="G420" s="11" t="s">
        <v>42</v>
      </c>
      <c r="H420" s="11" t="s">
        <v>78</v>
      </c>
      <c r="I420" s="11" t="s">
        <v>79</v>
      </c>
      <c r="J420" s="11" t="s">
        <v>80</v>
      </c>
      <c r="K420" s="13" t="n">
        <v>3906.02</v>
      </c>
      <c r="L420" s="11" t="n">
        <v>2</v>
      </c>
      <c r="M420" s="14" t="n">
        <v>0</v>
      </c>
      <c r="N420" s="13" t="n">
        <v>3161.19</v>
      </c>
      <c r="O420" s="13" t="n">
        <f aca="false">K420*L420*(1-M420)</f>
        <v>7812.04</v>
      </c>
      <c r="P420" s="13" t="n">
        <f aca="false">N420*L420</f>
        <v>6322.38</v>
      </c>
      <c r="Q420" s="13" t="n">
        <f aca="false">O420-P420</f>
        <v>1489.66</v>
      </c>
      <c r="R420" s="11" t="s">
        <v>46</v>
      </c>
      <c r="S420" s="11" t="s">
        <v>47</v>
      </c>
    </row>
    <row r="421" customFormat="false" ht="15" hidden="false" customHeight="true" outlineLevel="0" collapsed="false">
      <c r="A421" s="15" t="s">
        <v>557</v>
      </c>
      <c r="B421" s="16" t="n">
        <v>45603</v>
      </c>
      <c r="C421" s="15" t="s">
        <v>49</v>
      </c>
      <c r="D421" s="15" t="s">
        <v>50</v>
      </c>
      <c r="E421" s="15" t="s">
        <v>50</v>
      </c>
      <c r="F421" s="15" t="s">
        <v>68</v>
      </c>
      <c r="G421" s="15" t="s">
        <v>52</v>
      </c>
      <c r="H421" s="15" t="s">
        <v>78</v>
      </c>
      <c r="I421" s="15" t="s">
        <v>120</v>
      </c>
      <c r="J421" s="15" t="s">
        <v>235</v>
      </c>
      <c r="K421" s="17" t="n">
        <v>71.42</v>
      </c>
      <c r="L421" s="15" t="n">
        <v>89</v>
      </c>
      <c r="M421" s="18" t="n">
        <v>0</v>
      </c>
      <c r="N421" s="17" t="n">
        <v>55.35</v>
      </c>
      <c r="O421" s="17" t="n">
        <f aca="false">K421*L421*(1-M421)</f>
        <v>6356.38</v>
      </c>
      <c r="P421" s="17" t="n">
        <f aca="false">N421*L421</f>
        <v>4926.15</v>
      </c>
      <c r="Q421" s="17" t="n">
        <f aca="false">O421-P421</f>
        <v>1430.23</v>
      </c>
      <c r="R421" s="15" t="s">
        <v>46</v>
      </c>
      <c r="S421" s="15" t="s">
        <v>47</v>
      </c>
    </row>
    <row r="422" customFormat="false" ht="15" hidden="false" customHeight="true" outlineLevel="0" collapsed="false">
      <c r="A422" s="11" t="s">
        <v>558</v>
      </c>
      <c r="B422" s="12" t="n">
        <v>45603</v>
      </c>
      <c r="C422" s="11" t="s">
        <v>49</v>
      </c>
      <c r="D422" s="11" t="s">
        <v>50</v>
      </c>
      <c r="E422" s="11" t="s">
        <v>50</v>
      </c>
      <c r="F422" s="11" t="s">
        <v>109</v>
      </c>
      <c r="G422" s="11" t="s">
        <v>52</v>
      </c>
      <c r="H422" s="11" t="s">
        <v>78</v>
      </c>
      <c r="I422" s="11" t="s">
        <v>143</v>
      </c>
      <c r="J422" s="11" t="s">
        <v>144</v>
      </c>
      <c r="K422" s="13" t="n">
        <v>1183.93</v>
      </c>
      <c r="L422" s="11" t="n">
        <v>11</v>
      </c>
      <c r="M422" s="14" t="n">
        <v>0.15</v>
      </c>
      <c r="N422" s="13" t="n">
        <v>994.79</v>
      </c>
      <c r="O422" s="13" t="n">
        <f aca="false">K422*L422*(1-M422)</f>
        <v>11069.7455</v>
      </c>
      <c r="P422" s="13" t="n">
        <f aca="false">N422*L422</f>
        <v>10942.69</v>
      </c>
      <c r="Q422" s="13" t="n">
        <f aca="false">O422-P422</f>
        <v>127.055500000002</v>
      </c>
      <c r="R422" s="11" t="s">
        <v>167</v>
      </c>
      <c r="S422" s="11" t="s">
        <v>124</v>
      </c>
    </row>
    <row r="423" customFormat="false" ht="15" hidden="false" customHeight="true" outlineLevel="0" collapsed="false">
      <c r="A423" s="15" t="s">
        <v>559</v>
      </c>
      <c r="B423" s="16" t="n">
        <v>45604</v>
      </c>
      <c r="C423" s="15" t="s">
        <v>49</v>
      </c>
      <c r="D423" s="15" t="s">
        <v>97</v>
      </c>
      <c r="E423" s="15" t="s">
        <v>108</v>
      </c>
      <c r="F423" s="15" t="s">
        <v>135</v>
      </c>
      <c r="G423" s="15" t="s">
        <v>77</v>
      </c>
      <c r="H423" s="15" t="s">
        <v>78</v>
      </c>
      <c r="I423" s="15" t="s">
        <v>79</v>
      </c>
      <c r="J423" s="15" t="s">
        <v>242</v>
      </c>
      <c r="K423" s="17" t="n">
        <v>3679.73</v>
      </c>
      <c r="L423" s="15" t="n">
        <v>9</v>
      </c>
      <c r="M423" s="18" t="n">
        <v>0</v>
      </c>
      <c r="N423" s="17" t="n">
        <v>2944.57</v>
      </c>
      <c r="O423" s="17" t="n">
        <f aca="false">K423*L423*(1-M423)</f>
        <v>33117.57</v>
      </c>
      <c r="P423" s="17" t="n">
        <f aca="false">N423*L423</f>
        <v>26501.13</v>
      </c>
      <c r="Q423" s="17" t="n">
        <f aca="false">O423-P423</f>
        <v>6616.44</v>
      </c>
      <c r="R423" s="15" t="s">
        <v>63</v>
      </c>
      <c r="S423" s="15" t="s">
        <v>47</v>
      </c>
    </row>
    <row r="424" customFormat="false" ht="15" hidden="false" customHeight="true" outlineLevel="0" collapsed="false">
      <c r="A424" s="11" t="s">
        <v>560</v>
      </c>
      <c r="B424" s="12" t="n">
        <v>45604</v>
      </c>
      <c r="C424" s="11" t="s">
        <v>49</v>
      </c>
      <c r="D424" s="11" t="s">
        <v>97</v>
      </c>
      <c r="E424" s="11" t="s">
        <v>108</v>
      </c>
      <c r="F424" s="11" t="s">
        <v>68</v>
      </c>
      <c r="G424" s="11" t="s">
        <v>42</v>
      </c>
      <c r="H424" s="11" t="s">
        <v>53</v>
      </c>
      <c r="I424" s="11" t="s">
        <v>94</v>
      </c>
      <c r="J424" s="11" t="s">
        <v>95</v>
      </c>
      <c r="K424" s="13" t="n">
        <v>22.89</v>
      </c>
      <c r="L424" s="11" t="n">
        <v>75</v>
      </c>
      <c r="M424" s="14" t="n">
        <v>0.05</v>
      </c>
      <c r="N424" s="13" t="n">
        <v>12.67</v>
      </c>
      <c r="O424" s="13" t="n">
        <f aca="false">K424*L424*(1-M424)</f>
        <v>1630.9125</v>
      </c>
      <c r="P424" s="13" t="n">
        <f aca="false">N424*L424</f>
        <v>950.25</v>
      </c>
      <c r="Q424" s="13" t="n">
        <f aca="false">O424-P424</f>
        <v>680.6625</v>
      </c>
      <c r="R424" s="11" t="s">
        <v>46</v>
      </c>
      <c r="S424" s="11" t="s">
        <v>47</v>
      </c>
    </row>
    <row r="425" customFormat="false" ht="15" hidden="false" customHeight="true" outlineLevel="0" collapsed="false">
      <c r="A425" s="15" t="s">
        <v>561</v>
      </c>
      <c r="B425" s="16" t="n">
        <v>45607</v>
      </c>
      <c r="C425" s="15" t="s">
        <v>74</v>
      </c>
      <c r="D425" s="15" t="s">
        <v>171</v>
      </c>
      <c r="E425" s="15" t="s">
        <v>172</v>
      </c>
      <c r="F425" s="15" t="s">
        <v>99</v>
      </c>
      <c r="G425" s="15" t="s">
        <v>77</v>
      </c>
      <c r="H425" s="15" t="s">
        <v>84</v>
      </c>
      <c r="I425" s="15" t="s">
        <v>136</v>
      </c>
      <c r="J425" s="15" t="s">
        <v>137</v>
      </c>
      <c r="K425" s="17" t="n">
        <v>312.65</v>
      </c>
      <c r="L425" s="15" t="n">
        <v>21</v>
      </c>
      <c r="M425" s="18" t="n">
        <v>0.05</v>
      </c>
      <c r="N425" s="17" t="n">
        <v>240.76</v>
      </c>
      <c r="O425" s="17" t="n">
        <f aca="false">K425*L425*(1-M425)</f>
        <v>6237.3675</v>
      </c>
      <c r="P425" s="17" t="n">
        <f aca="false">N425*L425</f>
        <v>5055.96</v>
      </c>
      <c r="Q425" s="17" t="n">
        <f aca="false">O425-P425</f>
        <v>1181.4075</v>
      </c>
      <c r="R425" s="15" t="s">
        <v>167</v>
      </c>
      <c r="S425" s="15" t="s">
        <v>47</v>
      </c>
    </row>
    <row r="426" customFormat="false" ht="15" hidden="false" customHeight="true" outlineLevel="0" collapsed="false">
      <c r="A426" s="11" t="s">
        <v>562</v>
      </c>
      <c r="B426" s="12" t="n">
        <v>45607</v>
      </c>
      <c r="C426" s="11" t="s">
        <v>49</v>
      </c>
      <c r="D426" s="11" t="s">
        <v>97</v>
      </c>
      <c r="E426" s="11" t="s">
        <v>112</v>
      </c>
      <c r="F426" s="11" t="s">
        <v>177</v>
      </c>
      <c r="G426" s="11" t="s">
        <v>52</v>
      </c>
      <c r="H426" s="11" t="s">
        <v>53</v>
      </c>
      <c r="I426" s="11" t="s">
        <v>54</v>
      </c>
      <c r="J426" s="11" t="s">
        <v>113</v>
      </c>
      <c r="K426" s="13" t="n">
        <v>12.58</v>
      </c>
      <c r="L426" s="11" t="n">
        <v>146</v>
      </c>
      <c r="M426" s="14" t="n">
        <v>0</v>
      </c>
      <c r="N426" s="13" t="n">
        <v>8.57</v>
      </c>
      <c r="O426" s="13" t="n">
        <f aca="false">K426*L426*(1-M426)</f>
        <v>1836.68</v>
      </c>
      <c r="P426" s="13" t="n">
        <f aca="false">N426*L426</f>
        <v>1251.22</v>
      </c>
      <c r="Q426" s="13" t="n">
        <f aca="false">O426-P426</f>
        <v>585.46</v>
      </c>
      <c r="R426" s="11" t="s">
        <v>114</v>
      </c>
      <c r="S426" s="11" t="s">
        <v>47</v>
      </c>
    </row>
    <row r="427" customFormat="false" ht="15" hidden="false" customHeight="true" outlineLevel="0" collapsed="false">
      <c r="A427" s="15" t="s">
        <v>563</v>
      </c>
      <c r="B427" s="16" t="n">
        <v>45609</v>
      </c>
      <c r="C427" s="15" t="s">
        <v>74</v>
      </c>
      <c r="D427" s="15" t="s">
        <v>171</v>
      </c>
      <c r="E427" s="15" t="s">
        <v>172</v>
      </c>
      <c r="F427" s="15" t="s">
        <v>177</v>
      </c>
      <c r="G427" s="15" t="s">
        <v>42</v>
      </c>
      <c r="H427" s="15" t="s">
        <v>53</v>
      </c>
      <c r="I427" s="15" t="s">
        <v>54</v>
      </c>
      <c r="J427" s="15" t="s">
        <v>55</v>
      </c>
      <c r="K427" s="17" t="n">
        <v>14.2</v>
      </c>
      <c r="L427" s="15" t="n">
        <v>121</v>
      </c>
      <c r="M427" s="18" t="n">
        <v>0.1</v>
      </c>
      <c r="N427" s="17" t="n">
        <v>9.92</v>
      </c>
      <c r="O427" s="17" t="n">
        <f aca="false">K427*L427*(1-M427)</f>
        <v>1546.38</v>
      </c>
      <c r="P427" s="17" t="n">
        <f aca="false">N427*L427</f>
        <v>1200.32</v>
      </c>
      <c r="Q427" s="17" t="n">
        <f aca="false">O427-P427</f>
        <v>346.06</v>
      </c>
      <c r="R427" s="15" t="s">
        <v>46</v>
      </c>
      <c r="S427" s="15" t="s">
        <v>47</v>
      </c>
    </row>
    <row r="428" customFormat="false" ht="15" hidden="false" customHeight="true" outlineLevel="0" collapsed="false">
      <c r="A428" s="11" t="s">
        <v>564</v>
      </c>
      <c r="B428" s="12" t="n">
        <v>45610</v>
      </c>
      <c r="C428" s="11" t="s">
        <v>49</v>
      </c>
      <c r="D428" s="11" t="s">
        <v>97</v>
      </c>
      <c r="E428" s="11" t="s">
        <v>98</v>
      </c>
      <c r="F428" s="11" t="s">
        <v>118</v>
      </c>
      <c r="G428" s="11" t="s">
        <v>77</v>
      </c>
      <c r="H428" s="11" t="s">
        <v>43</v>
      </c>
      <c r="I428" s="11" t="s">
        <v>61</v>
      </c>
      <c r="J428" s="11" t="s">
        <v>147</v>
      </c>
      <c r="K428" s="13" t="n">
        <v>198.24</v>
      </c>
      <c r="L428" s="11" t="n">
        <v>45</v>
      </c>
      <c r="M428" s="14" t="n">
        <v>0.1</v>
      </c>
      <c r="N428" s="13" t="n">
        <v>67.17</v>
      </c>
      <c r="O428" s="13" t="n">
        <f aca="false">K428*L428*(1-M428)</f>
        <v>8028.72</v>
      </c>
      <c r="P428" s="13" t="n">
        <f aca="false">N428*L428</f>
        <v>3022.65</v>
      </c>
      <c r="Q428" s="13" t="n">
        <f aca="false">O428-P428</f>
        <v>5006.07</v>
      </c>
      <c r="R428" s="11" t="s">
        <v>114</v>
      </c>
      <c r="S428" s="11" t="s">
        <v>47</v>
      </c>
    </row>
    <row r="429" customFormat="false" ht="15" hidden="false" customHeight="true" outlineLevel="0" collapsed="false">
      <c r="A429" s="15" t="s">
        <v>565</v>
      </c>
      <c r="B429" s="16" t="n">
        <v>45611</v>
      </c>
      <c r="C429" s="15" t="s">
        <v>65</v>
      </c>
      <c r="D429" s="15" t="s">
        <v>82</v>
      </c>
      <c r="E429" s="15" t="s">
        <v>83</v>
      </c>
      <c r="F429" s="15" t="s">
        <v>41</v>
      </c>
      <c r="G429" s="15" t="s">
        <v>77</v>
      </c>
      <c r="H429" s="15" t="s">
        <v>53</v>
      </c>
      <c r="I429" s="15" t="s">
        <v>69</v>
      </c>
      <c r="J429" s="15" t="s">
        <v>128</v>
      </c>
      <c r="K429" s="17" t="n">
        <v>15.76</v>
      </c>
      <c r="L429" s="15" t="n">
        <v>164</v>
      </c>
      <c r="M429" s="18" t="n">
        <v>0</v>
      </c>
      <c r="N429" s="17" t="n">
        <v>10.47</v>
      </c>
      <c r="O429" s="17" t="n">
        <f aca="false">K429*L429*(1-M429)</f>
        <v>2584.64</v>
      </c>
      <c r="P429" s="17" t="n">
        <f aca="false">N429*L429</f>
        <v>1717.08</v>
      </c>
      <c r="Q429" s="17" t="n">
        <f aca="false">O429-P429</f>
        <v>867.56</v>
      </c>
      <c r="R429" s="15" t="s">
        <v>46</v>
      </c>
      <c r="S429" s="15" t="s">
        <v>47</v>
      </c>
    </row>
    <row r="430" customFormat="false" ht="15" hidden="false" customHeight="true" outlineLevel="0" collapsed="false">
      <c r="A430" s="11" t="s">
        <v>566</v>
      </c>
      <c r="B430" s="12" t="n">
        <v>45612</v>
      </c>
      <c r="C430" s="11" t="s">
        <v>65</v>
      </c>
      <c r="D430" s="11" t="s">
        <v>66</v>
      </c>
      <c r="E430" s="11" t="s">
        <v>67</v>
      </c>
      <c r="F430" s="11" t="s">
        <v>135</v>
      </c>
      <c r="G430" s="11" t="s">
        <v>42</v>
      </c>
      <c r="H430" s="11" t="s">
        <v>43</v>
      </c>
      <c r="I430" s="11" t="s">
        <v>44</v>
      </c>
      <c r="J430" s="11" t="s">
        <v>45</v>
      </c>
      <c r="K430" s="13" t="n">
        <v>147.79</v>
      </c>
      <c r="L430" s="11" t="n">
        <v>18</v>
      </c>
      <c r="M430" s="14" t="n">
        <v>0</v>
      </c>
      <c r="N430" s="13" t="n">
        <v>55.48</v>
      </c>
      <c r="O430" s="13" t="n">
        <f aca="false">K430*L430*(1-M430)</f>
        <v>2660.22</v>
      </c>
      <c r="P430" s="13" t="n">
        <f aca="false">N430*L430</f>
        <v>998.64</v>
      </c>
      <c r="Q430" s="13" t="n">
        <f aca="false">O430-P430</f>
        <v>1661.58</v>
      </c>
      <c r="R430" s="11" t="s">
        <v>63</v>
      </c>
      <c r="S430" s="11" t="s">
        <v>47</v>
      </c>
    </row>
    <row r="431" customFormat="false" ht="15" hidden="false" customHeight="true" outlineLevel="0" collapsed="false">
      <c r="A431" s="15" t="s">
        <v>567</v>
      </c>
      <c r="B431" s="16" t="n">
        <v>45613</v>
      </c>
      <c r="C431" s="15" t="s">
        <v>57</v>
      </c>
      <c r="D431" s="15" t="s">
        <v>103</v>
      </c>
      <c r="E431" s="15" t="s">
        <v>104</v>
      </c>
      <c r="F431" s="15" t="s">
        <v>118</v>
      </c>
      <c r="G431" s="15" t="s">
        <v>77</v>
      </c>
      <c r="H431" s="15" t="s">
        <v>78</v>
      </c>
      <c r="I431" s="15" t="s">
        <v>154</v>
      </c>
      <c r="J431" s="15" t="s">
        <v>186</v>
      </c>
      <c r="K431" s="17" t="n">
        <v>791.65</v>
      </c>
      <c r="L431" s="15" t="n">
        <v>8</v>
      </c>
      <c r="M431" s="18" t="n">
        <v>0.05</v>
      </c>
      <c r="N431" s="17" t="n">
        <v>659.52</v>
      </c>
      <c r="O431" s="17" t="n">
        <f aca="false">K431*L431*(1-M431)</f>
        <v>6016.54</v>
      </c>
      <c r="P431" s="17" t="n">
        <f aca="false">N431*L431</f>
        <v>5276.16</v>
      </c>
      <c r="Q431" s="17" t="n">
        <f aca="false">O431-P431</f>
        <v>740.38</v>
      </c>
      <c r="R431" s="15" t="s">
        <v>114</v>
      </c>
      <c r="S431" s="15" t="s">
        <v>47</v>
      </c>
    </row>
    <row r="432" customFormat="false" ht="15" hidden="false" customHeight="true" outlineLevel="0" collapsed="false">
      <c r="A432" s="11" t="s">
        <v>568</v>
      </c>
      <c r="B432" s="12" t="n">
        <v>45613</v>
      </c>
      <c r="C432" s="11" t="s">
        <v>38</v>
      </c>
      <c r="D432" s="11" t="s">
        <v>88</v>
      </c>
      <c r="E432" s="11" t="s">
        <v>89</v>
      </c>
      <c r="F432" s="11" t="s">
        <v>60</v>
      </c>
      <c r="G432" s="11" t="s">
        <v>52</v>
      </c>
      <c r="H432" s="11" t="s">
        <v>43</v>
      </c>
      <c r="I432" s="11" t="s">
        <v>44</v>
      </c>
      <c r="J432" s="11" t="s">
        <v>106</v>
      </c>
      <c r="K432" s="13" t="n">
        <v>477.13</v>
      </c>
      <c r="L432" s="11" t="n">
        <v>16</v>
      </c>
      <c r="M432" s="14" t="n">
        <v>0.1</v>
      </c>
      <c r="N432" s="13" t="n">
        <v>179.08</v>
      </c>
      <c r="O432" s="13" t="n">
        <f aca="false">K432*L432*(1-M432)</f>
        <v>6870.672</v>
      </c>
      <c r="P432" s="13" t="n">
        <f aca="false">N432*L432</f>
        <v>2865.28</v>
      </c>
      <c r="Q432" s="13" t="n">
        <f aca="false">O432-P432</f>
        <v>4005.392</v>
      </c>
      <c r="R432" s="11" t="s">
        <v>46</v>
      </c>
      <c r="S432" s="11" t="s">
        <v>47</v>
      </c>
    </row>
    <row r="433" customFormat="false" ht="15" hidden="false" customHeight="true" outlineLevel="0" collapsed="false">
      <c r="A433" s="15" t="s">
        <v>569</v>
      </c>
      <c r="B433" s="16" t="n">
        <v>45613</v>
      </c>
      <c r="C433" s="15" t="s">
        <v>65</v>
      </c>
      <c r="D433" s="15" t="s">
        <v>116</v>
      </c>
      <c r="E433" s="15" t="s">
        <v>117</v>
      </c>
      <c r="F433" s="15" t="s">
        <v>118</v>
      </c>
      <c r="G433" s="15" t="s">
        <v>77</v>
      </c>
      <c r="H433" s="15" t="s">
        <v>78</v>
      </c>
      <c r="I433" s="15" t="s">
        <v>79</v>
      </c>
      <c r="J433" s="15" t="s">
        <v>216</v>
      </c>
      <c r="K433" s="17" t="n">
        <v>5477.36</v>
      </c>
      <c r="L433" s="15" t="n">
        <v>9</v>
      </c>
      <c r="M433" s="18" t="n">
        <v>0.1</v>
      </c>
      <c r="N433" s="17" t="n">
        <v>4505.66</v>
      </c>
      <c r="O433" s="17" t="n">
        <f aca="false">K433*L433*(1-M433)</f>
        <v>44366.616</v>
      </c>
      <c r="P433" s="17" t="n">
        <f aca="false">N433*L433</f>
        <v>40550.94</v>
      </c>
      <c r="Q433" s="17" t="n">
        <f aca="false">O433-P433</f>
        <v>3815.676</v>
      </c>
      <c r="R433" s="15" t="s">
        <v>114</v>
      </c>
      <c r="S433" s="15" t="s">
        <v>47</v>
      </c>
    </row>
    <row r="434" customFormat="false" ht="15" hidden="false" customHeight="true" outlineLevel="0" collapsed="false">
      <c r="A434" s="11" t="s">
        <v>570</v>
      </c>
      <c r="B434" s="12" t="n">
        <v>45613</v>
      </c>
      <c r="C434" s="11" t="s">
        <v>74</v>
      </c>
      <c r="D434" s="11" t="s">
        <v>171</v>
      </c>
      <c r="E434" s="11" t="s">
        <v>172</v>
      </c>
      <c r="F434" s="11" t="s">
        <v>41</v>
      </c>
      <c r="G434" s="11" t="s">
        <v>126</v>
      </c>
      <c r="H434" s="11" t="s">
        <v>84</v>
      </c>
      <c r="I434" s="11" t="s">
        <v>100</v>
      </c>
      <c r="J434" s="11" t="s">
        <v>101</v>
      </c>
      <c r="K434" s="13" t="n">
        <v>1321.65</v>
      </c>
      <c r="L434" s="11" t="n">
        <v>13</v>
      </c>
      <c r="M434" s="14" t="n">
        <v>0.1</v>
      </c>
      <c r="N434" s="13" t="n">
        <v>1079.1</v>
      </c>
      <c r="O434" s="13" t="n">
        <f aca="false">K434*L434*(1-M434)</f>
        <v>15463.305</v>
      </c>
      <c r="P434" s="13" t="n">
        <f aca="false">N434*L434</f>
        <v>14028.3</v>
      </c>
      <c r="Q434" s="13" t="n">
        <f aca="false">O434-P434</f>
        <v>1435.005</v>
      </c>
      <c r="R434" s="11" t="s">
        <v>46</v>
      </c>
      <c r="S434" s="11" t="s">
        <v>187</v>
      </c>
    </row>
    <row r="435" customFormat="false" ht="15" hidden="false" customHeight="true" outlineLevel="0" collapsed="false">
      <c r="A435" s="15" t="s">
        <v>571</v>
      </c>
      <c r="B435" s="16" t="n">
        <v>45613</v>
      </c>
      <c r="C435" s="15" t="s">
        <v>74</v>
      </c>
      <c r="D435" s="15" t="s">
        <v>171</v>
      </c>
      <c r="E435" s="15" t="s">
        <v>172</v>
      </c>
      <c r="F435" s="15" t="s">
        <v>123</v>
      </c>
      <c r="G435" s="15" t="s">
        <v>130</v>
      </c>
      <c r="H435" s="15" t="s">
        <v>53</v>
      </c>
      <c r="I435" s="15" t="s">
        <v>94</v>
      </c>
      <c r="J435" s="15" t="s">
        <v>95</v>
      </c>
      <c r="K435" s="17" t="n">
        <v>29.14</v>
      </c>
      <c r="L435" s="15" t="n">
        <v>31</v>
      </c>
      <c r="M435" s="18" t="n">
        <v>0.1</v>
      </c>
      <c r="N435" s="17" t="n">
        <v>19.96</v>
      </c>
      <c r="O435" s="17" t="n">
        <f aca="false">K435*L435*(1-M435)</f>
        <v>813.006</v>
      </c>
      <c r="P435" s="17" t="n">
        <f aca="false">N435*L435</f>
        <v>618.76</v>
      </c>
      <c r="Q435" s="17" t="n">
        <f aca="false">O435-P435</f>
        <v>194.246</v>
      </c>
      <c r="R435" s="15" t="s">
        <v>46</v>
      </c>
      <c r="S435" s="15" t="s">
        <v>47</v>
      </c>
    </row>
    <row r="436" customFormat="false" ht="15" hidden="false" customHeight="true" outlineLevel="0" collapsed="false">
      <c r="A436" s="11" t="s">
        <v>572</v>
      </c>
      <c r="B436" s="12" t="n">
        <v>45614</v>
      </c>
      <c r="C436" s="11" t="s">
        <v>49</v>
      </c>
      <c r="D436" s="11" t="s">
        <v>97</v>
      </c>
      <c r="E436" s="11" t="s">
        <v>112</v>
      </c>
      <c r="F436" s="11" t="s">
        <v>109</v>
      </c>
      <c r="G436" s="11" t="s">
        <v>130</v>
      </c>
      <c r="H436" s="11" t="s">
        <v>78</v>
      </c>
      <c r="I436" s="11" t="s">
        <v>143</v>
      </c>
      <c r="J436" s="11" t="s">
        <v>144</v>
      </c>
      <c r="K436" s="13" t="n">
        <v>1573.92</v>
      </c>
      <c r="L436" s="11" t="n">
        <v>18</v>
      </c>
      <c r="M436" s="14" t="n">
        <v>0</v>
      </c>
      <c r="N436" s="13" t="n">
        <v>1322.8</v>
      </c>
      <c r="O436" s="13" t="n">
        <f aca="false">K436*L436*(1-M436)</f>
        <v>28330.56</v>
      </c>
      <c r="P436" s="13" t="n">
        <f aca="false">N436*L436</f>
        <v>23810.4</v>
      </c>
      <c r="Q436" s="13" t="n">
        <f aca="false">O436-P436</f>
        <v>4520.16</v>
      </c>
      <c r="R436" s="11" t="s">
        <v>46</v>
      </c>
      <c r="S436" s="11" t="s">
        <v>124</v>
      </c>
    </row>
    <row r="437" customFormat="false" ht="15" hidden="false" customHeight="true" outlineLevel="0" collapsed="false">
      <c r="A437" s="15" t="s">
        <v>573</v>
      </c>
      <c r="B437" s="16" t="n">
        <v>45614</v>
      </c>
      <c r="C437" s="15" t="s">
        <v>74</v>
      </c>
      <c r="D437" s="15" t="s">
        <v>75</v>
      </c>
      <c r="E437" s="15" t="s">
        <v>76</v>
      </c>
      <c r="F437" s="15" t="s">
        <v>109</v>
      </c>
      <c r="G437" s="15" t="s">
        <v>77</v>
      </c>
      <c r="H437" s="15" t="s">
        <v>43</v>
      </c>
      <c r="I437" s="15" t="s">
        <v>61</v>
      </c>
      <c r="J437" s="15" t="s">
        <v>147</v>
      </c>
      <c r="K437" s="17" t="n">
        <v>180.74</v>
      </c>
      <c r="L437" s="15" t="n">
        <v>45</v>
      </c>
      <c r="M437" s="18" t="n">
        <v>0</v>
      </c>
      <c r="N437" s="17" t="n">
        <v>78.38</v>
      </c>
      <c r="O437" s="17" t="n">
        <f aca="false">K437*L437*(1-M437)</f>
        <v>8133.3</v>
      </c>
      <c r="P437" s="17" t="n">
        <f aca="false">N437*L437</f>
        <v>3527.1</v>
      </c>
      <c r="Q437" s="17" t="n">
        <f aca="false">O437-P437</f>
        <v>4606.2</v>
      </c>
      <c r="R437" s="15" t="s">
        <v>71</v>
      </c>
      <c r="S437" s="15" t="s">
        <v>47</v>
      </c>
    </row>
    <row r="438" customFormat="false" ht="15" hidden="false" customHeight="true" outlineLevel="0" collapsed="false">
      <c r="A438" s="11" t="s">
        <v>574</v>
      </c>
      <c r="B438" s="12" t="n">
        <v>45615</v>
      </c>
      <c r="C438" s="11" t="s">
        <v>49</v>
      </c>
      <c r="D438" s="11" t="s">
        <v>97</v>
      </c>
      <c r="E438" s="11" t="s">
        <v>98</v>
      </c>
      <c r="F438" s="11" t="s">
        <v>135</v>
      </c>
      <c r="G438" s="11" t="s">
        <v>52</v>
      </c>
      <c r="H438" s="11" t="s">
        <v>78</v>
      </c>
      <c r="I438" s="11" t="s">
        <v>154</v>
      </c>
      <c r="J438" s="11" t="s">
        <v>155</v>
      </c>
      <c r="K438" s="13" t="n">
        <v>571.77</v>
      </c>
      <c r="L438" s="11" t="n">
        <v>3</v>
      </c>
      <c r="M438" s="14" t="n">
        <v>0</v>
      </c>
      <c r="N438" s="13" t="n">
        <v>474.39</v>
      </c>
      <c r="O438" s="13" t="n">
        <f aca="false">K438*L438*(1-M438)</f>
        <v>1715.31</v>
      </c>
      <c r="P438" s="13" t="n">
        <f aca="false">N438*L438</f>
        <v>1423.17</v>
      </c>
      <c r="Q438" s="13" t="n">
        <f aca="false">O438-P438</f>
        <v>292.14</v>
      </c>
      <c r="R438" s="11" t="s">
        <v>63</v>
      </c>
      <c r="S438" s="11" t="s">
        <v>47</v>
      </c>
    </row>
    <row r="439" customFormat="false" ht="15" hidden="false" customHeight="true" outlineLevel="0" collapsed="false">
      <c r="A439" s="15" t="s">
        <v>575</v>
      </c>
      <c r="B439" s="16" t="n">
        <v>45615</v>
      </c>
      <c r="C439" s="15" t="s">
        <v>38</v>
      </c>
      <c r="D439" s="15" t="s">
        <v>88</v>
      </c>
      <c r="E439" s="15" t="s">
        <v>89</v>
      </c>
      <c r="F439" s="15" t="s">
        <v>99</v>
      </c>
      <c r="G439" s="15" t="s">
        <v>77</v>
      </c>
      <c r="H439" s="15" t="s">
        <v>53</v>
      </c>
      <c r="I439" s="15" t="s">
        <v>54</v>
      </c>
      <c r="J439" s="15" t="s">
        <v>55</v>
      </c>
      <c r="K439" s="17" t="n">
        <v>22.02</v>
      </c>
      <c r="L439" s="15" t="n">
        <v>28</v>
      </c>
      <c r="M439" s="18" t="n">
        <v>0</v>
      </c>
      <c r="N439" s="17" t="n">
        <v>14.32</v>
      </c>
      <c r="O439" s="17" t="n">
        <f aca="false">K439*L439*(1-M439)</f>
        <v>616.56</v>
      </c>
      <c r="P439" s="17" t="n">
        <f aca="false">N439*L439</f>
        <v>400.96</v>
      </c>
      <c r="Q439" s="17" t="n">
        <f aca="false">O439-P439</f>
        <v>215.6</v>
      </c>
      <c r="R439" s="15" t="s">
        <v>46</v>
      </c>
      <c r="S439" s="15" t="s">
        <v>47</v>
      </c>
    </row>
    <row r="440" customFormat="false" ht="15" hidden="false" customHeight="true" outlineLevel="0" collapsed="false">
      <c r="A440" s="11" t="s">
        <v>576</v>
      </c>
      <c r="B440" s="12" t="n">
        <v>45615</v>
      </c>
      <c r="C440" s="11" t="s">
        <v>74</v>
      </c>
      <c r="D440" s="11" t="s">
        <v>171</v>
      </c>
      <c r="E440" s="11" t="s">
        <v>172</v>
      </c>
      <c r="F440" s="11" t="s">
        <v>60</v>
      </c>
      <c r="G440" s="11" t="s">
        <v>77</v>
      </c>
      <c r="H440" s="11" t="s">
        <v>78</v>
      </c>
      <c r="I440" s="11" t="s">
        <v>154</v>
      </c>
      <c r="J440" s="11" t="s">
        <v>186</v>
      </c>
      <c r="K440" s="13" t="n">
        <v>1017.88</v>
      </c>
      <c r="L440" s="11" t="n">
        <v>2</v>
      </c>
      <c r="M440" s="14" t="n">
        <v>0.05</v>
      </c>
      <c r="N440" s="13" t="n">
        <v>819.1</v>
      </c>
      <c r="O440" s="13" t="n">
        <f aca="false">K440*L440*(1-M440)</f>
        <v>1933.972</v>
      </c>
      <c r="P440" s="13" t="n">
        <f aca="false">N440*L440</f>
        <v>1638.2</v>
      </c>
      <c r="Q440" s="13" t="n">
        <f aca="false">O440-P440</f>
        <v>295.772</v>
      </c>
      <c r="R440" s="11" t="s">
        <v>71</v>
      </c>
      <c r="S440" s="11" t="s">
        <v>47</v>
      </c>
    </row>
    <row r="441" customFormat="false" ht="15" hidden="false" customHeight="true" outlineLevel="0" collapsed="false">
      <c r="A441" s="15" t="s">
        <v>577</v>
      </c>
      <c r="B441" s="16" t="n">
        <v>45618</v>
      </c>
      <c r="C441" s="15" t="s">
        <v>38</v>
      </c>
      <c r="D441" s="15" t="s">
        <v>92</v>
      </c>
      <c r="E441" s="15" t="s">
        <v>93</v>
      </c>
      <c r="F441" s="15" t="s">
        <v>118</v>
      </c>
      <c r="G441" s="15" t="s">
        <v>126</v>
      </c>
      <c r="H441" s="15" t="s">
        <v>78</v>
      </c>
      <c r="I441" s="15" t="s">
        <v>154</v>
      </c>
      <c r="J441" s="15" t="s">
        <v>155</v>
      </c>
      <c r="K441" s="17" t="n">
        <v>595.21</v>
      </c>
      <c r="L441" s="15" t="n">
        <v>19</v>
      </c>
      <c r="M441" s="18" t="n">
        <v>0</v>
      </c>
      <c r="N441" s="17" t="n">
        <v>511.75</v>
      </c>
      <c r="O441" s="17" t="n">
        <f aca="false">K441*L441*(1-M441)</f>
        <v>11308.99</v>
      </c>
      <c r="P441" s="17" t="n">
        <f aca="false">N441*L441</f>
        <v>9723.25</v>
      </c>
      <c r="Q441" s="17" t="n">
        <f aca="false">O441-P441</f>
        <v>1585.74</v>
      </c>
      <c r="R441" s="15" t="s">
        <v>46</v>
      </c>
      <c r="S441" s="15" t="s">
        <v>47</v>
      </c>
    </row>
    <row r="442" customFormat="false" ht="15" hidden="false" customHeight="true" outlineLevel="0" collapsed="false">
      <c r="A442" s="11" t="s">
        <v>578</v>
      </c>
      <c r="B442" s="12" t="n">
        <v>45618</v>
      </c>
      <c r="C442" s="11" t="s">
        <v>49</v>
      </c>
      <c r="D442" s="11" t="s">
        <v>97</v>
      </c>
      <c r="E442" s="11" t="s">
        <v>112</v>
      </c>
      <c r="F442" s="11" t="s">
        <v>41</v>
      </c>
      <c r="G442" s="11" t="s">
        <v>52</v>
      </c>
      <c r="H442" s="11" t="s">
        <v>43</v>
      </c>
      <c r="I442" s="11" t="s">
        <v>61</v>
      </c>
      <c r="J442" s="11" t="s">
        <v>147</v>
      </c>
      <c r="K442" s="13" t="n">
        <v>245.48</v>
      </c>
      <c r="L442" s="11" t="n">
        <v>49</v>
      </c>
      <c r="M442" s="14" t="n">
        <v>0.05</v>
      </c>
      <c r="N442" s="13" t="n">
        <v>99.54</v>
      </c>
      <c r="O442" s="13" t="n">
        <f aca="false">K442*L442*(1-M442)</f>
        <v>11427.094</v>
      </c>
      <c r="P442" s="13" t="n">
        <f aca="false">N442*L442</f>
        <v>4877.46</v>
      </c>
      <c r="Q442" s="13" t="n">
        <f aca="false">O442-P442</f>
        <v>6549.634</v>
      </c>
      <c r="R442" s="11" t="s">
        <v>46</v>
      </c>
      <c r="S442" s="11" t="s">
        <v>47</v>
      </c>
    </row>
    <row r="443" customFormat="false" ht="15" hidden="false" customHeight="true" outlineLevel="0" collapsed="false">
      <c r="A443" s="15" t="s">
        <v>579</v>
      </c>
      <c r="B443" s="16" t="n">
        <v>45619</v>
      </c>
      <c r="C443" s="15" t="s">
        <v>38</v>
      </c>
      <c r="D443" s="15" t="s">
        <v>88</v>
      </c>
      <c r="E443" s="15" t="s">
        <v>89</v>
      </c>
      <c r="F443" s="15" t="s">
        <v>177</v>
      </c>
      <c r="G443" s="15" t="s">
        <v>52</v>
      </c>
      <c r="H443" s="15" t="s">
        <v>78</v>
      </c>
      <c r="I443" s="15" t="s">
        <v>143</v>
      </c>
      <c r="J443" s="15" t="s">
        <v>158</v>
      </c>
      <c r="K443" s="17" t="n">
        <v>881.92</v>
      </c>
      <c r="L443" s="15" t="n">
        <v>17</v>
      </c>
      <c r="M443" s="18" t="n">
        <v>0</v>
      </c>
      <c r="N443" s="17" t="n">
        <v>757.4</v>
      </c>
      <c r="O443" s="17" t="n">
        <f aca="false">K443*L443*(1-M443)</f>
        <v>14992.64</v>
      </c>
      <c r="P443" s="17" t="n">
        <f aca="false">N443*L443</f>
        <v>12875.8</v>
      </c>
      <c r="Q443" s="17" t="n">
        <f aca="false">O443-P443</f>
        <v>2116.84</v>
      </c>
      <c r="R443" s="15" t="s">
        <v>114</v>
      </c>
      <c r="S443" s="15" t="s">
        <v>47</v>
      </c>
    </row>
    <row r="444" customFormat="false" ht="15" hidden="false" customHeight="true" outlineLevel="0" collapsed="false">
      <c r="A444" s="11" t="s">
        <v>580</v>
      </c>
      <c r="B444" s="12" t="n">
        <v>45619</v>
      </c>
      <c r="C444" s="11" t="s">
        <v>57</v>
      </c>
      <c r="D444" s="11" t="s">
        <v>162</v>
      </c>
      <c r="E444" s="11" t="s">
        <v>163</v>
      </c>
      <c r="F444" s="11" t="s">
        <v>123</v>
      </c>
      <c r="G444" s="11" t="s">
        <v>42</v>
      </c>
      <c r="H444" s="11" t="s">
        <v>78</v>
      </c>
      <c r="I444" s="11" t="s">
        <v>143</v>
      </c>
      <c r="J444" s="11" t="s">
        <v>158</v>
      </c>
      <c r="K444" s="13" t="n">
        <v>735.66</v>
      </c>
      <c r="L444" s="11" t="n">
        <v>4</v>
      </c>
      <c r="M444" s="14" t="n">
        <v>0.1</v>
      </c>
      <c r="N444" s="13" t="n">
        <v>576.65</v>
      </c>
      <c r="O444" s="13" t="n">
        <f aca="false">K444*L444*(1-M444)</f>
        <v>2648.376</v>
      </c>
      <c r="P444" s="13" t="n">
        <f aca="false">N444*L444</f>
        <v>2306.6</v>
      </c>
      <c r="Q444" s="13" t="n">
        <f aca="false">O444-P444</f>
        <v>341.776</v>
      </c>
      <c r="R444" s="11" t="s">
        <v>63</v>
      </c>
      <c r="S444" s="11" t="s">
        <v>47</v>
      </c>
    </row>
    <row r="445" customFormat="false" ht="15" hidden="false" customHeight="true" outlineLevel="0" collapsed="false">
      <c r="A445" s="15" t="s">
        <v>581</v>
      </c>
      <c r="B445" s="16" t="n">
        <v>45619</v>
      </c>
      <c r="C445" s="15" t="s">
        <v>38</v>
      </c>
      <c r="D445" s="15" t="s">
        <v>88</v>
      </c>
      <c r="E445" s="15" t="s">
        <v>89</v>
      </c>
      <c r="F445" s="15" t="s">
        <v>109</v>
      </c>
      <c r="G445" s="15" t="s">
        <v>52</v>
      </c>
      <c r="H445" s="15" t="s">
        <v>84</v>
      </c>
      <c r="I445" s="15" t="s">
        <v>100</v>
      </c>
      <c r="J445" s="15" t="s">
        <v>101</v>
      </c>
      <c r="K445" s="17" t="n">
        <v>1930.89</v>
      </c>
      <c r="L445" s="15" t="n">
        <v>12</v>
      </c>
      <c r="M445" s="18" t="n">
        <v>0</v>
      </c>
      <c r="N445" s="17" t="n">
        <v>1440.67</v>
      </c>
      <c r="O445" s="17" t="n">
        <f aca="false">K445*L445*(1-M445)</f>
        <v>23170.68</v>
      </c>
      <c r="P445" s="17" t="n">
        <f aca="false">N445*L445</f>
        <v>17288.04</v>
      </c>
      <c r="Q445" s="17" t="n">
        <f aca="false">O445-P445</f>
        <v>5882.64</v>
      </c>
      <c r="R445" s="15" t="s">
        <v>46</v>
      </c>
      <c r="S445" s="15" t="s">
        <v>47</v>
      </c>
    </row>
    <row r="446" customFormat="false" ht="15" hidden="false" customHeight="true" outlineLevel="0" collapsed="false">
      <c r="A446" s="11" t="s">
        <v>582</v>
      </c>
      <c r="B446" s="12" t="n">
        <v>45621</v>
      </c>
      <c r="C446" s="11" t="s">
        <v>65</v>
      </c>
      <c r="D446" s="11" t="s">
        <v>149</v>
      </c>
      <c r="E446" s="11" t="s">
        <v>150</v>
      </c>
      <c r="F446" s="11" t="s">
        <v>41</v>
      </c>
      <c r="G446" s="11" t="s">
        <v>77</v>
      </c>
      <c r="H446" s="11" t="s">
        <v>84</v>
      </c>
      <c r="I446" s="11" t="s">
        <v>100</v>
      </c>
      <c r="J446" s="11" t="s">
        <v>139</v>
      </c>
      <c r="K446" s="13" t="n">
        <v>832.85</v>
      </c>
      <c r="L446" s="11" t="n">
        <v>21</v>
      </c>
      <c r="M446" s="14" t="n">
        <v>0</v>
      </c>
      <c r="N446" s="13" t="n">
        <v>638.08</v>
      </c>
      <c r="O446" s="13" t="n">
        <f aca="false">K446*L446*(1-M446)</f>
        <v>17489.85</v>
      </c>
      <c r="P446" s="13" t="n">
        <f aca="false">N446*L446</f>
        <v>13399.68</v>
      </c>
      <c r="Q446" s="13" t="n">
        <f aca="false">O446-P446</f>
        <v>4090.17</v>
      </c>
      <c r="R446" s="11" t="s">
        <v>63</v>
      </c>
      <c r="S446" s="11" t="s">
        <v>47</v>
      </c>
    </row>
    <row r="447" customFormat="false" ht="15" hidden="false" customHeight="true" outlineLevel="0" collapsed="false">
      <c r="A447" s="15" t="s">
        <v>583</v>
      </c>
      <c r="B447" s="16" t="n">
        <v>45622</v>
      </c>
      <c r="C447" s="15" t="s">
        <v>57</v>
      </c>
      <c r="D447" s="15" t="s">
        <v>162</v>
      </c>
      <c r="E447" s="15" t="s">
        <v>163</v>
      </c>
      <c r="F447" s="15" t="s">
        <v>41</v>
      </c>
      <c r="G447" s="15" t="s">
        <v>130</v>
      </c>
      <c r="H447" s="15" t="s">
        <v>78</v>
      </c>
      <c r="I447" s="15" t="s">
        <v>120</v>
      </c>
      <c r="J447" s="15" t="s">
        <v>232</v>
      </c>
      <c r="K447" s="17" t="n">
        <v>282.07</v>
      </c>
      <c r="L447" s="15" t="n">
        <v>51</v>
      </c>
      <c r="M447" s="18" t="n">
        <v>0</v>
      </c>
      <c r="N447" s="17" t="n">
        <v>214.18</v>
      </c>
      <c r="O447" s="17" t="n">
        <f aca="false">K447*L447*(1-M447)</f>
        <v>14385.57</v>
      </c>
      <c r="P447" s="17" t="n">
        <f aca="false">N447*L447</f>
        <v>10923.18</v>
      </c>
      <c r="Q447" s="17" t="n">
        <f aca="false">O447-P447</f>
        <v>3462.39</v>
      </c>
      <c r="R447" s="15" t="s">
        <v>46</v>
      </c>
      <c r="S447" s="15" t="s">
        <v>47</v>
      </c>
    </row>
    <row r="448" customFormat="false" ht="15" hidden="false" customHeight="true" outlineLevel="0" collapsed="false">
      <c r="A448" s="11" t="s">
        <v>584</v>
      </c>
      <c r="B448" s="12" t="n">
        <v>45622</v>
      </c>
      <c r="C448" s="11" t="s">
        <v>49</v>
      </c>
      <c r="D448" s="11" t="s">
        <v>97</v>
      </c>
      <c r="E448" s="11" t="s">
        <v>112</v>
      </c>
      <c r="F448" s="11" t="s">
        <v>118</v>
      </c>
      <c r="G448" s="11" t="s">
        <v>77</v>
      </c>
      <c r="H448" s="11" t="s">
        <v>78</v>
      </c>
      <c r="I448" s="11" t="s">
        <v>154</v>
      </c>
      <c r="J448" s="11" t="s">
        <v>186</v>
      </c>
      <c r="K448" s="13" t="n">
        <v>1029.44</v>
      </c>
      <c r="L448" s="11" t="n">
        <v>6</v>
      </c>
      <c r="M448" s="14" t="n">
        <v>0.05</v>
      </c>
      <c r="N448" s="13" t="n">
        <v>856.62</v>
      </c>
      <c r="O448" s="13" t="n">
        <f aca="false">K448*L448*(1-M448)</f>
        <v>5867.808</v>
      </c>
      <c r="P448" s="13" t="n">
        <f aca="false">N448*L448</f>
        <v>5139.72</v>
      </c>
      <c r="Q448" s="13" t="n">
        <f aca="false">O448-P448</f>
        <v>728.088</v>
      </c>
      <c r="R448" s="11" t="s">
        <v>71</v>
      </c>
      <c r="S448" s="11" t="s">
        <v>47</v>
      </c>
    </row>
    <row r="449" customFormat="false" ht="15" hidden="false" customHeight="true" outlineLevel="0" collapsed="false">
      <c r="A449" s="15" t="s">
        <v>585</v>
      </c>
      <c r="B449" s="16" t="n">
        <v>45622</v>
      </c>
      <c r="C449" s="15" t="s">
        <v>49</v>
      </c>
      <c r="D449" s="15" t="s">
        <v>50</v>
      </c>
      <c r="E449" s="15" t="s">
        <v>50</v>
      </c>
      <c r="F449" s="15" t="s">
        <v>51</v>
      </c>
      <c r="G449" s="15" t="s">
        <v>42</v>
      </c>
      <c r="H449" s="15" t="s">
        <v>53</v>
      </c>
      <c r="I449" s="15" t="s">
        <v>94</v>
      </c>
      <c r="J449" s="15" t="s">
        <v>95</v>
      </c>
      <c r="K449" s="17" t="n">
        <v>19.1</v>
      </c>
      <c r="L449" s="15" t="n">
        <v>85</v>
      </c>
      <c r="M449" s="18" t="n">
        <v>0.1</v>
      </c>
      <c r="N449" s="17" t="n">
        <v>11.82</v>
      </c>
      <c r="O449" s="17" t="n">
        <f aca="false">K449*L449*(1-M449)</f>
        <v>1461.15</v>
      </c>
      <c r="P449" s="17" t="n">
        <f aca="false">N449*L449</f>
        <v>1004.7</v>
      </c>
      <c r="Q449" s="17" t="n">
        <f aca="false">O449-P449</f>
        <v>456.45</v>
      </c>
      <c r="R449" s="15" t="s">
        <v>46</v>
      </c>
      <c r="S449" s="15" t="s">
        <v>72</v>
      </c>
    </row>
    <row r="450" customFormat="false" ht="15" hidden="false" customHeight="true" outlineLevel="0" collapsed="false">
      <c r="A450" s="11" t="s">
        <v>586</v>
      </c>
      <c r="B450" s="12" t="n">
        <v>45622</v>
      </c>
      <c r="C450" s="11" t="s">
        <v>38</v>
      </c>
      <c r="D450" s="11" t="s">
        <v>39</v>
      </c>
      <c r="E450" s="11" t="s">
        <v>40</v>
      </c>
      <c r="F450" s="11" t="s">
        <v>51</v>
      </c>
      <c r="G450" s="11" t="s">
        <v>52</v>
      </c>
      <c r="H450" s="11" t="s">
        <v>84</v>
      </c>
      <c r="I450" s="11" t="s">
        <v>100</v>
      </c>
      <c r="J450" s="11" t="s">
        <v>101</v>
      </c>
      <c r="K450" s="13" t="n">
        <v>2306.44</v>
      </c>
      <c r="L450" s="11" t="n">
        <v>14</v>
      </c>
      <c r="M450" s="14" t="n">
        <v>0</v>
      </c>
      <c r="N450" s="13" t="n">
        <v>1890.12</v>
      </c>
      <c r="O450" s="13" t="n">
        <f aca="false">K450*L450*(1-M450)</f>
        <v>32290.16</v>
      </c>
      <c r="P450" s="13" t="n">
        <f aca="false">N450*L450</f>
        <v>26461.68</v>
      </c>
      <c r="Q450" s="13" t="n">
        <f aca="false">O450-P450</f>
        <v>5828.48</v>
      </c>
      <c r="R450" s="11" t="s">
        <v>46</v>
      </c>
      <c r="S450" s="11" t="s">
        <v>47</v>
      </c>
    </row>
    <row r="451" customFormat="false" ht="15" hidden="false" customHeight="true" outlineLevel="0" collapsed="false">
      <c r="A451" s="15" t="s">
        <v>587</v>
      </c>
      <c r="B451" s="16" t="n">
        <v>45623</v>
      </c>
      <c r="C451" s="15" t="s">
        <v>49</v>
      </c>
      <c r="D451" s="15" t="s">
        <v>97</v>
      </c>
      <c r="E451" s="15" t="s">
        <v>112</v>
      </c>
      <c r="F451" s="15" t="s">
        <v>68</v>
      </c>
      <c r="G451" s="15" t="s">
        <v>126</v>
      </c>
      <c r="H451" s="15" t="s">
        <v>43</v>
      </c>
      <c r="I451" s="15" t="s">
        <v>44</v>
      </c>
      <c r="J451" s="15" t="s">
        <v>45</v>
      </c>
      <c r="K451" s="17" t="n">
        <v>260.91</v>
      </c>
      <c r="L451" s="15" t="n">
        <v>52</v>
      </c>
      <c r="M451" s="18" t="n">
        <v>0.05</v>
      </c>
      <c r="N451" s="17" t="n">
        <v>80.16</v>
      </c>
      <c r="O451" s="17" t="n">
        <f aca="false">K451*L451*(1-M451)</f>
        <v>12888.954</v>
      </c>
      <c r="P451" s="17" t="n">
        <f aca="false">N451*L451</f>
        <v>4168.32</v>
      </c>
      <c r="Q451" s="17" t="n">
        <f aca="false">O451-P451</f>
        <v>8720.634</v>
      </c>
      <c r="R451" s="15" t="s">
        <v>46</v>
      </c>
      <c r="S451" s="15" t="s">
        <v>124</v>
      </c>
    </row>
    <row r="452" customFormat="false" ht="15" hidden="false" customHeight="true" outlineLevel="0" collapsed="false">
      <c r="A452" s="11" t="s">
        <v>588</v>
      </c>
      <c r="B452" s="12" t="n">
        <v>45625</v>
      </c>
      <c r="C452" s="11" t="s">
        <v>65</v>
      </c>
      <c r="D452" s="11" t="s">
        <v>82</v>
      </c>
      <c r="E452" s="11" t="s">
        <v>83</v>
      </c>
      <c r="F452" s="11" t="s">
        <v>177</v>
      </c>
      <c r="G452" s="11" t="s">
        <v>42</v>
      </c>
      <c r="H452" s="11" t="s">
        <v>43</v>
      </c>
      <c r="I452" s="11" t="s">
        <v>44</v>
      </c>
      <c r="J452" s="11" t="s">
        <v>45</v>
      </c>
      <c r="K452" s="13" t="n">
        <v>246.21</v>
      </c>
      <c r="L452" s="11" t="n">
        <v>74</v>
      </c>
      <c r="M452" s="14" t="n">
        <v>0</v>
      </c>
      <c r="N452" s="13" t="n">
        <v>88.33</v>
      </c>
      <c r="O452" s="13" t="n">
        <f aca="false">K452*L452*(1-M452)</f>
        <v>18219.54</v>
      </c>
      <c r="P452" s="13" t="n">
        <f aca="false">N452*L452</f>
        <v>6536.42</v>
      </c>
      <c r="Q452" s="13" t="n">
        <f aca="false">O452-P452</f>
        <v>11683.12</v>
      </c>
      <c r="R452" s="11" t="s">
        <v>63</v>
      </c>
      <c r="S452" s="11" t="s">
        <v>187</v>
      </c>
    </row>
    <row r="453" customFormat="false" ht="15" hidden="false" customHeight="true" outlineLevel="0" collapsed="false">
      <c r="A453" s="15" t="s">
        <v>589</v>
      </c>
      <c r="B453" s="16" t="n">
        <v>45625</v>
      </c>
      <c r="C453" s="15" t="s">
        <v>49</v>
      </c>
      <c r="D453" s="15" t="s">
        <v>97</v>
      </c>
      <c r="E453" s="15" t="s">
        <v>112</v>
      </c>
      <c r="F453" s="15" t="s">
        <v>177</v>
      </c>
      <c r="G453" s="15" t="s">
        <v>52</v>
      </c>
      <c r="H453" s="15" t="s">
        <v>78</v>
      </c>
      <c r="I453" s="15" t="s">
        <v>120</v>
      </c>
      <c r="J453" s="15" t="s">
        <v>121</v>
      </c>
      <c r="K453" s="17" t="n">
        <v>262.48</v>
      </c>
      <c r="L453" s="15" t="n">
        <v>54</v>
      </c>
      <c r="M453" s="18" t="n">
        <v>0.15</v>
      </c>
      <c r="N453" s="17" t="n">
        <v>196.23</v>
      </c>
      <c r="O453" s="17" t="n">
        <f aca="false">K453*L453*(1-M453)</f>
        <v>12047.832</v>
      </c>
      <c r="P453" s="17" t="n">
        <f aca="false">N453*L453</f>
        <v>10596.42</v>
      </c>
      <c r="Q453" s="17" t="n">
        <f aca="false">O453-P453</f>
        <v>1451.412</v>
      </c>
      <c r="R453" s="15" t="s">
        <v>46</v>
      </c>
      <c r="S453" s="15" t="s">
        <v>47</v>
      </c>
    </row>
    <row r="454" customFormat="false" ht="15" hidden="false" customHeight="true" outlineLevel="0" collapsed="false">
      <c r="A454" s="11" t="s">
        <v>590</v>
      </c>
      <c r="B454" s="12" t="n">
        <v>45625</v>
      </c>
      <c r="C454" s="11" t="s">
        <v>49</v>
      </c>
      <c r="D454" s="11" t="s">
        <v>152</v>
      </c>
      <c r="E454" s="11" t="s">
        <v>152</v>
      </c>
      <c r="F454" s="11" t="s">
        <v>109</v>
      </c>
      <c r="G454" s="11" t="s">
        <v>130</v>
      </c>
      <c r="H454" s="11" t="s">
        <v>53</v>
      </c>
      <c r="I454" s="11" t="s">
        <v>54</v>
      </c>
      <c r="J454" s="11" t="s">
        <v>55</v>
      </c>
      <c r="K454" s="13" t="n">
        <v>15.85</v>
      </c>
      <c r="L454" s="11" t="n">
        <v>150</v>
      </c>
      <c r="M454" s="14" t="n">
        <v>0.15</v>
      </c>
      <c r="N454" s="13" t="n">
        <v>10.79</v>
      </c>
      <c r="O454" s="13" t="n">
        <f aca="false">K454*L454*(1-M454)</f>
        <v>2020.875</v>
      </c>
      <c r="P454" s="13" t="n">
        <f aca="false">N454*L454</f>
        <v>1618.5</v>
      </c>
      <c r="Q454" s="13" t="n">
        <f aca="false">O454-P454</f>
        <v>402.375</v>
      </c>
      <c r="R454" s="11" t="s">
        <v>71</v>
      </c>
      <c r="S454" s="11" t="s">
        <v>47</v>
      </c>
    </row>
    <row r="455" customFormat="false" ht="15" hidden="false" customHeight="true" outlineLevel="0" collapsed="false">
      <c r="A455" s="15" t="s">
        <v>591</v>
      </c>
      <c r="B455" s="16" t="n">
        <v>45626</v>
      </c>
      <c r="C455" s="15" t="s">
        <v>38</v>
      </c>
      <c r="D455" s="15" t="s">
        <v>39</v>
      </c>
      <c r="E455" s="15" t="s">
        <v>40</v>
      </c>
      <c r="F455" s="15" t="s">
        <v>68</v>
      </c>
      <c r="G455" s="15" t="s">
        <v>77</v>
      </c>
      <c r="H455" s="15" t="s">
        <v>53</v>
      </c>
      <c r="I455" s="15" t="s">
        <v>94</v>
      </c>
      <c r="J455" s="15" t="s">
        <v>131</v>
      </c>
      <c r="K455" s="17" t="n">
        <v>28.66</v>
      </c>
      <c r="L455" s="15" t="n">
        <v>89</v>
      </c>
      <c r="M455" s="18" t="n">
        <v>0.05</v>
      </c>
      <c r="N455" s="17" t="n">
        <v>17.93</v>
      </c>
      <c r="O455" s="17" t="n">
        <f aca="false">K455*L455*(1-M455)</f>
        <v>2423.203</v>
      </c>
      <c r="P455" s="17" t="n">
        <f aca="false">N455*L455</f>
        <v>1595.77</v>
      </c>
      <c r="Q455" s="17" t="n">
        <f aca="false">O455-P455</f>
        <v>827.433</v>
      </c>
      <c r="R455" s="15" t="s">
        <v>63</v>
      </c>
      <c r="S455" s="15" t="s">
        <v>72</v>
      </c>
    </row>
    <row r="456" customFormat="false" ht="15" hidden="false" customHeight="true" outlineLevel="0" collapsed="false">
      <c r="A456" s="11" t="s">
        <v>592</v>
      </c>
      <c r="B456" s="12" t="n">
        <v>45626</v>
      </c>
      <c r="C456" s="11" t="s">
        <v>57</v>
      </c>
      <c r="D456" s="11" t="s">
        <v>103</v>
      </c>
      <c r="E456" s="11" t="s">
        <v>104</v>
      </c>
      <c r="F456" s="11" t="s">
        <v>109</v>
      </c>
      <c r="G456" s="11" t="s">
        <v>77</v>
      </c>
      <c r="H456" s="11" t="s">
        <v>53</v>
      </c>
      <c r="I456" s="11" t="s">
        <v>94</v>
      </c>
      <c r="J456" s="11" t="s">
        <v>131</v>
      </c>
      <c r="K456" s="13" t="n">
        <v>44.11</v>
      </c>
      <c r="L456" s="11" t="n">
        <v>80</v>
      </c>
      <c r="M456" s="14" t="n">
        <v>0</v>
      </c>
      <c r="N456" s="13" t="n">
        <v>30.12</v>
      </c>
      <c r="O456" s="13" t="n">
        <f aca="false">K456*L456*(1-M456)</f>
        <v>3528.8</v>
      </c>
      <c r="P456" s="13" t="n">
        <f aca="false">N456*L456</f>
        <v>2409.6</v>
      </c>
      <c r="Q456" s="13" t="n">
        <f aca="false">O456-P456</f>
        <v>1119.2</v>
      </c>
      <c r="R456" s="11" t="s">
        <v>46</v>
      </c>
      <c r="S456" s="11" t="s">
        <v>47</v>
      </c>
    </row>
    <row r="457" customFormat="false" ht="15" hidden="false" customHeight="true" outlineLevel="0" collapsed="false">
      <c r="A457" s="15" t="s">
        <v>593</v>
      </c>
      <c r="B457" s="16" t="n">
        <v>45626</v>
      </c>
      <c r="C457" s="15" t="s">
        <v>65</v>
      </c>
      <c r="D457" s="15" t="s">
        <v>82</v>
      </c>
      <c r="E457" s="15" t="s">
        <v>83</v>
      </c>
      <c r="F457" s="15" t="s">
        <v>68</v>
      </c>
      <c r="G457" s="15" t="s">
        <v>77</v>
      </c>
      <c r="H457" s="15" t="s">
        <v>53</v>
      </c>
      <c r="I457" s="15" t="s">
        <v>54</v>
      </c>
      <c r="J457" s="15" t="s">
        <v>55</v>
      </c>
      <c r="K457" s="17" t="n">
        <v>18.64</v>
      </c>
      <c r="L457" s="15" t="n">
        <v>141</v>
      </c>
      <c r="M457" s="18" t="n">
        <v>0.1</v>
      </c>
      <c r="N457" s="17" t="n">
        <v>11.04</v>
      </c>
      <c r="O457" s="17" t="n">
        <f aca="false">K457*L457*(1-M457)</f>
        <v>2365.416</v>
      </c>
      <c r="P457" s="17" t="n">
        <f aca="false">N457*L457</f>
        <v>1556.64</v>
      </c>
      <c r="Q457" s="17" t="n">
        <f aca="false">O457-P457</f>
        <v>808.776</v>
      </c>
      <c r="R457" s="15" t="s">
        <v>71</v>
      </c>
      <c r="S457" s="15" t="s">
        <v>47</v>
      </c>
    </row>
    <row r="458" customFormat="false" ht="15" hidden="false" customHeight="true" outlineLevel="0" collapsed="false">
      <c r="A458" s="11" t="s">
        <v>594</v>
      </c>
      <c r="B458" s="12" t="n">
        <v>45626</v>
      </c>
      <c r="C458" s="11" t="s">
        <v>57</v>
      </c>
      <c r="D458" s="11" t="s">
        <v>162</v>
      </c>
      <c r="E458" s="11" t="s">
        <v>163</v>
      </c>
      <c r="F458" s="11" t="s">
        <v>68</v>
      </c>
      <c r="G458" s="11" t="s">
        <v>52</v>
      </c>
      <c r="H458" s="11" t="s">
        <v>84</v>
      </c>
      <c r="I458" s="11" t="s">
        <v>136</v>
      </c>
      <c r="J458" s="11" t="s">
        <v>137</v>
      </c>
      <c r="K458" s="13" t="n">
        <v>298.24</v>
      </c>
      <c r="L458" s="11" t="n">
        <v>7</v>
      </c>
      <c r="M458" s="14" t="n">
        <v>0.15</v>
      </c>
      <c r="N458" s="13" t="n">
        <v>232.44</v>
      </c>
      <c r="O458" s="13" t="n">
        <f aca="false">K458*L458*(1-M458)</f>
        <v>1774.528</v>
      </c>
      <c r="P458" s="13" t="n">
        <f aca="false">N458*L458</f>
        <v>1627.08</v>
      </c>
      <c r="Q458" s="13" t="n">
        <f aca="false">O458-P458</f>
        <v>147.448</v>
      </c>
      <c r="R458" s="11" t="s">
        <v>114</v>
      </c>
      <c r="S458" s="11" t="s">
        <v>47</v>
      </c>
    </row>
    <row r="459" customFormat="false" ht="15" hidden="false" customHeight="true" outlineLevel="0" collapsed="false">
      <c r="A459" s="15" t="s">
        <v>595</v>
      </c>
      <c r="B459" s="16" t="n">
        <v>45627</v>
      </c>
      <c r="C459" s="15" t="s">
        <v>57</v>
      </c>
      <c r="D459" s="15" t="s">
        <v>103</v>
      </c>
      <c r="E459" s="15" t="s">
        <v>104</v>
      </c>
      <c r="F459" s="15" t="s">
        <v>68</v>
      </c>
      <c r="G459" s="15" t="s">
        <v>77</v>
      </c>
      <c r="H459" s="15" t="s">
        <v>53</v>
      </c>
      <c r="I459" s="15" t="s">
        <v>54</v>
      </c>
      <c r="J459" s="15" t="s">
        <v>113</v>
      </c>
      <c r="K459" s="17" t="n">
        <v>27</v>
      </c>
      <c r="L459" s="15" t="n">
        <v>144</v>
      </c>
      <c r="M459" s="18" t="n">
        <v>0</v>
      </c>
      <c r="N459" s="17" t="n">
        <v>19.32</v>
      </c>
      <c r="O459" s="17" t="n">
        <f aca="false">K459*L459*(1-M459)</f>
        <v>3888</v>
      </c>
      <c r="P459" s="17" t="n">
        <f aca="false">N459*L459</f>
        <v>2782.08</v>
      </c>
      <c r="Q459" s="17" t="n">
        <f aca="false">O459-P459</f>
        <v>1105.92</v>
      </c>
      <c r="R459" s="15" t="s">
        <v>167</v>
      </c>
      <c r="S459" s="15" t="s">
        <v>47</v>
      </c>
    </row>
    <row r="460" customFormat="false" ht="15" hidden="false" customHeight="true" outlineLevel="0" collapsed="false">
      <c r="A460" s="11" t="s">
        <v>596</v>
      </c>
      <c r="B460" s="12" t="n">
        <v>45627</v>
      </c>
      <c r="C460" s="11" t="s">
        <v>38</v>
      </c>
      <c r="D460" s="11" t="s">
        <v>39</v>
      </c>
      <c r="E460" s="11" t="s">
        <v>40</v>
      </c>
      <c r="F460" s="11" t="s">
        <v>135</v>
      </c>
      <c r="G460" s="11" t="s">
        <v>126</v>
      </c>
      <c r="H460" s="11" t="s">
        <v>43</v>
      </c>
      <c r="I460" s="11" t="s">
        <v>44</v>
      </c>
      <c r="J460" s="11" t="s">
        <v>106</v>
      </c>
      <c r="K460" s="13" t="n">
        <v>451.48</v>
      </c>
      <c r="L460" s="11" t="n">
        <v>29</v>
      </c>
      <c r="M460" s="14" t="n">
        <v>0.05</v>
      </c>
      <c r="N460" s="13" t="n">
        <v>156.35</v>
      </c>
      <c r="O460" s="13" t="n">
        <f aca="false">K460*L460*(1-M460)</f>
        <v>12438.274</v>
      </c>
      <c r="P460" s="13" t="n">
        <f aca="false">N460*L460</f>
        <v>4534.15</v>
      </c>
      <c r="Q460" s="13" t="n">
        <f aca="false">O460-P460</f>
        <v>7904.124</v>
      </c>
      <c r="R460" s="11" t="s">
        <v>63</v>
      </c>
      <c r="S460" s="11" t="s">
        <v>47</v>
      </c>
    </row>
    <row r="461" customFormat="false" ht="15" hidden="false" customHeight="true" outlineLevel="0" collapsed="false">
      <c r="A461" s="15" t="s">
        <v>597</v>
      </c>
      <c r="B461" s="16" t="n">
        <v>45627</v>
      </c>
      <c r="C461" s="15" t="s">
        <v>49</v>
      </c>
      <c r="D461" s="15" t="s">
        <v>97</v>
      </c>
      <c r="E461" s="15" t="s">
        <v>98</v>
      </c>
      <c r="F461" s="15" t="s">
        <v>60</v>
      </c>
      <c r="G461" s="15" t="s">
        <v>52</v>
      </c>
      <c r="H461" s="15" t="s">
        <v>84</v>
      </c>
      <c r="I461" s="15" t="s">
        <v>100</v>
      </c>
      <c r="J461" s="15" t="s">
        <v>101</v>
      </c>
      <c r="K461" s="17" t="n">
        <v>1110.99</v>
      </c>
      <c r="L461" s="15" t="n">
        <v>7</v>
      </c>
      <c r="M461" s="18" t="n">
        <v>0.15</v>
      </c>
      <c r="N461" s="17" t="n">
        <v>869.75</v>
      </c>
      <c r="O461" s="17" t="n">
        <f aca="false">K461*L461*(1-M461)</f>
        <v>6610.3905</v>
      </c>
      <c r="P461" s="17" t="n">
        <f aca="false">N461*L461</f>
        <v>6088.25</v>
      </c>
      <c r="Q461" s="17" t="n">
        <f aca="false">O461-P461</f>
        <v>522.1405</v>
      </c>
      <c r="R461" s="15" t="s">
        <v>63</v>
      </c>
      <c r="S461" s="15" t="s">
        <v>47</v>
      </c>
    </row>
    <row r="462" customFormat="false" ht="15" hidden="false" customHeight="true" outlineLevel="0" collapsed="false">
      <c r="A462" s="11" t="s">
        <v>598</v>
      </c>
      <c r="B462" s="12" t="n">
        <v>45627</v>
      </c>
      <c r="C462" s="11" t="s">
        <v>38</v>
      </c>
      <c r="D462" s="11" t="s">
        <v>88</v>
      </c>
      <c r="E462" s="11" t="s">
        <v>89</v>
      </c>
      <c r="F462" s="11" t="s">
        <v>109</v>
      </c>
      <c r="G462" s="11" t="s">
        <v>52</v>
      </c>
      <c r="H462" s="11" t="s">
        <v>78</v>
      </c>
      <c r="I462" s="11" t="s">
        <v>154</v>
      </c>
      <c r="J462" s="11" t="s">
        <v>186</v>
      </c>
      <c r="K462" s="13" t="n">
        <v>1027.91</v>
      </c>
      <c r="L462" s="11" t="n">
        <v>13</v>
      </c>
      <c r="M462" s="14" t="n">
        <v>0.1</v>
      </c>
      <c r="N462" s="13" t="n">
        <v>874.47</v>
      </c>
      <c r="O462" s="13" t="n">
        <f aca="false">K462*L462*(1-M462)</f>
        <v>12026.547</v>
      </c>
      <c r="P462" s="13" t="n">
        <f aca="false">N462*L462</f>
        <v>11368.11</v>
      </c>
      <c r="Q462" s="13" t="n">
        <f aca="false">O462-P462</f>
        <v>658.437000000002</v>
      </c>
      <c r="R462" s="11" t="s">
        <v>71</v>
      </c>
      <c r="S462" s="11" t="s">
        <v>47</v>
      </c>
    </row>
    <row r="463" customFormat="false" ht="15" hidden="false" customHeight="true" outlineLevel="0" collapsed="false">
      <c r="A463" s="15" t="s">
        <v>599</v>
      </c>
      <c r="B463" s="16" t="n">
        <v>45628</v>
      </c>
      <c r="C463" s="15" t="s">
        <v>49</v>
      </c>
      <c r="D463" s="15" t="s">
        <v>97</v>
      </c>
      <c r="E463" s="15" t="s">
        <v>108</v>
      </c>
      <c r="F463" s="15" t="s">
        <v>177</v>
      </c>
      <c r="G463" s="15" t="s">
        <v>126</v>
      </c>
      <c r="H463" s="15" t="s">
        <v>53</v>
      </c>
      <c r="I463" s="15" t="s">
        <v>94</v>
      </c>
      <c r="J463" s="15" t="s">
        <v>95</v>
      </c>
      <c r="K463" s="17" t="n">
        <v>23.5</v>
      </c>
      <c r="L463" s="15" t="n">
        <v>98</v>
      </c>
      <c r="M463" s="18" t="n">
        <v>0</v>
      </c>
      <c r="N463" s="17" t="n">
        <v>13.78</v>
      </c>
      <c r="O463" s="17" t="n">
        <f aca="false">K463*L463*(1-M463)</f>
        <v>2303</v>
      </c>
      <c r="P463" s="17" t="n">
        <f aca="false">N463*L463</f>
        <v>1350.44</v>
      </c>
      <c r="Q463" s="17" t="n">
        <f aca="false">O463-P463</f>
        <v>952.56</v>
      </c>
      <c r="R463" s="15" t="s">
        <v>63</v>
      </c>
      <c r="S463" s="15" t="s">
        <v>187</v>
      </c>
    </row>
    <row r="464" customFormat="false" ht="15" hidden="false" customHeight="true" outlineLevel="0" collapsed="false">
      <c r="A464" s="11" t="s">
        <v>600</v>
      </c>
      <c r="B464" s="12" t="n">
        <v>45628</v>
      </c>
      <c r="C464" s="11" t="s">
        <v>49</v>
      </c>
      <c r="D464" s="11" t="s">
        <v>97</v>
      </c>
      <c r="E464" s="11" t="s">
        <v>98</v>
      </c>
      <c r="F464" s="11" t="s">
        <v>177</v>
      </c>
      <c r="G464" s="11" t="s">
        <v>130</v>
      </c>
      <c r="H464" s="11" t="s">
        <v>53</v>
      </c>
      <c r="I464" s="11" t="s">
        <v>69</v>
      </c>
      <c r="J464" s="11" t="s">
        <v>70</v>
      </c>
      <c r="K464" s="13" t="n">
        <v>29.7</v>
      </c>
      <c r="L464" s="11" t="n">
        <v>109</v>
      </c>
      <c r="M464" s="14" t="n">
        <v>0</v>
      </c>
      <c r="N464" s="13" t="n">
        <v>20.89</v>
      </c>
      <c r="O464" s="13" t="n">
        <f aca="false">K464*L464*(1-M464)</f>
        <v>3237.3</v>
      </c>
      <c r="P464" s="13" t="n">
        <f aca="false">N464*L464</f>
        <v>2277.01</v>
      </c>
      <c r="Q464" s="13" t="n">
        <f aca="false">O464-P464</f>
        <v>960.29</v>
      </c>
      <c r="R464" s="11" t="s">
        <v>46</v>
      </c>
      <c r="S464" s="11" t="s">
        <v>47</v>
      </c>
    </row>
    <row r="465" customFormat="false" ht="15" hidden="false" customHeight="true" outlineLevel="0" collapsed="false">
      <c r="A465" s="15" t="s">
        <v>601</v>
      </c>
      <c r="B465" s="16" t="n">
        <v>45628</v>
      </c>
      <c r="C465" s="15" t="s">
        <v>65</v>
      </c>
      <c r="D465" s="15" t="s">
        <v>82</v>
      </c>
      <c r="E465" s="15" t="s">
        <v>83</v>
      </c>
      <c r="F465" s="15" t="s">
        <v>51</v>
      </c>
      <c r="G465" s="15" t="s">
        <v>42</v>
      </c>
      <c r="H465" s="15" t="s">
        <v>53</v>
      </c>
      <c r="I465" s="15" t="s">
        <v>69</v>
      </c>
      <c r="J465" s="15" t="s">
        <v>128</v>
      </c>
      <c r="K465" s="17" t="n">
        <v>17.98</v>
      </c>
      <c r="L465" s="15" t="n">
        <v>108</v>
      </c>
      <c r="M465" s="18" t="n">
        <v>0.05</v>
      </c>
      <c r="N465" s="17" t="n">
        <v>12.86</v>
      </c>
      <c r="O465" s="17" t="n">
        <f aca="false">K465*L465*(1-M465)</f>
        <v>1844.748</v>
      </c>
      <c r="P465" s="17" t="n">
        <f aca="false">N465*L465</f>
        <v>1388.88</v>
      </c>
      <c r="Q465" s="17" t="n">
        <f aca="false">O465-P465</f>
        <v>455.868</v>
      </c>
      <c r="R465" s="15" t="s">
        <v>71</v>
      </c>
      <c r="S465" s="15" t="s">
        <v>47</v>
      </c>
    </row>
    <row r="466" customFormat="false" ht="15" hidden="false" customHeight="true" outlineLevel="0" collapsed="false">
      <c r="A466" s="11" t="s">
        <v>602</v>
      </c>
      <c r="B466" s="12" t="n">
        <v>45630</v>
      </c>
      <c r="C466" s="11" t="s">
        <v>74</v>
      </c>
      <c r="D466" s="11" t="s">
        <v>171</v>
      </c>
      <c r="E466" s="11" t="s">
        <v>172</v>
      </c>
      <c r="F466" s="11" t="s">
        <v>51</v>
      </c>
      <c r="G466" s="11" t="s">
        <v>130</v>
      </c>
      <c r="H466" s="11" t="s">
        <v>53</v>
      </c>
      <c r="I466" s="11" t="s">
        <v>54</v>
      </c>
      <c r="J466" s="11" t="s">
        <v>113</v>
      </c>
      <c r="K466" s="13" t="n">
        <v>19.81</v>
      </c>
      <c r="L466" s="11" t="n">
        <v>154</v>
      </c>
      <c r="M466" s="14" t="n">
        <v>0.05</v>
      </c>
      <c r="N466" s="13" t="n">
        <v>11.69</v>
      </c>
      <c r="O466" s="13" t="n">
        <f aca="false">K466*L466*(1-M466)</f>
        <v>2898.203</v>
      </c>
      <c r="P466" s="13" t="n">
        <f aca="false">N466*L466</f>
        <v>1800.26</v>
      </c>
      <c r="Q466" s="13" t="n">
        <f aca="false">O466-P466</f>
        <v>1097.943</v>
      </c>
      <c r="R466" s="11" t="s">
        <v>114</v>
      </c>
      <c r="S466" s="11" t="s">
        <v>47</v>
      </c>
    </row>
    <row r="467" customFormat="false" ht="15" hidden="false" customHeight="true" outlineLevel="0" collapsed="false">
      <c r="A467" s="15" t="s">
        <v>603</v>
      </c>
      <c r="B467" s="16" t="n">
        <v>45631</v>
      </c>
      <c r="C467" s="15" t="s">
        <v>57</v>
      </c>
      <c r="D467" s="15" t="s">
        <v>162</v>
      </c>
      <c r="E467" s="15" t="s">
        <v>163</v>
      </c>
      <c r="F467" s="15" t="s">
        <v>177</v>
      </c>
      <c r="G467" s="15" t="s">
        <v>130</v>
      </c>
      <c r="H467" s="15" t="s">
        <v>78</v>
      </c>
      <c r="I467" s="15" t="s">
        <v>120</v>
      </c>
      <c r="J467" s="15" t="s">
        <v>121</v>
      </c>
      <c r="K467" s="17" t="n">
        <v>191.17</v>
      </c>
      <c r="L467" s="15" t="n">
        <v>12</v>
      </c>
      <c r="M467" s="18" t="n">
        <v>0.1</v>
      </c>
      <c r="N467" s="17" t="n">
        <v>140.25</v>
      </c>
      <c r="O467" s="17" t="n">
        <f aca="false">K467*L467*(1-M467)</f>
        <v>2064.636</v>
      </c>
      <c r="P467" s="17" t="n">
        <f aca="false">N467*L467</f>
        <v>1683</v>
      </c>
      <c r="Q467" s="17" t="n">
        <f aca="false">O467-P467</f>
        <v>381.636</v>
      </c>
      <c r="R467" s="15" t="s">
        <v>63</v>
      </c>
      <c r="S467" s="15" t="s">
        <v>47</v>
      </c>
    </row>
    <row r="468" customFormat="false" ht="15" hidden="false" customHeight="true" outlineLevel="0" collapsed="false">
      <c r="A468" s="11" t="s">
        <v>604</v>
      </c>
      <c r="B468" s="12" t="n">
        <v>45631</v>
      </c>
      <c r="C468" s="11" t="s">
        <v>65</v>
      </c>
      <c r="D468" s="11" t="s">
        <v>66</v>
      </c>
      <c r="E468" s="11" t="s">
        <v>67</v>
      </c>
      <c r="F468" s="11" t="s">
        <v>68</v>
      </c>
      <c r="G468" s="11" t="s">
        <v>42</v>
      </c>
      <c r="H468" s="11" t="s">
        <v>43</v>
      </c>
      <c r="I468" s="11" t="s">
        <v>44</v>
      </c>
      <c r="J468" s="11" t="s">
        <v>45</v>
      </c>
      <c r="K468" s="13" t="n">
        <v>297.89</v>
      </c>
      <c r="L468" s="11" t="n">
        <v>66</v>
      </c>
      <c r="M468" s="14" t="n">
        <v>0</v>
      </c>
      <c r="N468" s="13" t="n">
        <v>108.94</v>
      </c>
      <c r="O468" s="13" t="n">
        <f aca="false">K468*L468*(1-M468)</f>
        <v>19660.74</v>
      </c>
      <c r="P468" s="13" t="n">
        <f aca="false">N468*L468</f>
        <v>7190.04</v>
      </c>
      <c r="Q468" s="13" t="n">
        <f aca="false">O468-P468</f>
        <v>12470.7</v>
      </c>
      <c r="R468" s="11" t="s">
        <v>63</v>
      </c>
      <c r="S468" s="11" t="s">
        <v>47</v>
      </c>
    </row>
    <row r="469" customFormat="false" ht="15" hidden="false" customHeight="true" outlineLevel="0" collapsed="false">
      <c r="A469" s="15" t="s">
        <v>605</v>
      </c>
      <c r="B469" s="16" t="n">
        <v>45632</v>
      </c>
      <c r="C469" s="15" t="s">
        <v>74</v>
      </c>
      <c r="D469" s="15" t="s">
        <v>171</v>
      </c>
      <c r="E469" s="15" t="s">
        <v>172</v>
      </c>
      <c r="F469" s="15" t="s">
        <v>135</v>
      </c>
      <c r="G469" s="15" t="s">
        <v>130</v>
      </c>
      <c r="H469" s="15" t="s">
        <v>78</v>
      </c>
      <c r="I469" s="15" t="s">
        <v>120</v>
      </c>
      <c r="J469" s="15" t="s">
        <v>235</v>
      </c>
      <c r="K469" s="17" t="n">
        <v>114.13</v>
      </c>
      <c r="L469" s="15" t="n">
        <v>95</v>
      </c>
      <c r="M469" s="18" t="n">
        <v>0</v>
      </c>
      <c r="N469" s="17" t="n">
        <v>92.42</v>
      </c>
      <c r="O469" s="17" t="n">
        <f aca="false">K469*L469*(1-M469)</f>
        <v>10842.35</v>
      </c>
      <c r="P469" s="17" t="n">
        <f aca="false">N469*L469</f>
        <v>8779.9</v>
      </c>
      <c r="Q469" s="17" t="n">
        <f aca="false">O469-P469</f>
        <v>2062.45</v>
      </c>
      <c r="R469" s="15" t="s">
        <v>63</v>
      </c>
      <c r="S469" s="15" t="s">
        <v>47</v>
      </c>
    </row>
    <row r="470" customFormat="false" ht="15" hidden="false" customHeight="true" outlineLevel="0" collapsed="false">
      <c r="A470" s="11" t="s">
        <v>606</v>
      </c>
      <c r="B470" s="12" t="n">
        <v>45633</v>
      </c>
      <c r="C470" s="11" t="s">
        <v>49</v>
      </c>
      <c r="D470" s="11" t="s">
        <v>50</v>
      </c>
      <c r="E470" s="11" t="s">
        <v>50</v>
      </c>
      <c r="F470" s="11" t="s">
        <v>41</v>
      </c>
      <c r="G470" s="11" t="s">
        <v>52</v>
      </c>
      <c r="H470" s="11" t="s">
        <v>84</v>
      </c>
      <c r="I470" s="11" t="s">
        <v>85</v>
      </c>
      <c r="J470" s="11" t="s">
        <v>90</v>
      </c>
      <c r="K470" s="13" t="n">
        <v>494.02</v>
      </c>
      <c r="L470" s="11" t="n">
        <v>7</v>
      </c>
      <c r="M470" s="14" t="n">
        <v>0</v>
      </c>
      <c r="N470" s="13" t="n">
        <v>372.11</v>
      </c>
      <c r="O470" s="13" t="n">
        <f aca="false">K470*L470*(1-M470)</f>
        <v>3458.14</v>
      </c>
      <c r="P470" s="13" t="n">
        <f aca="false">N470*L470</f>
        <v>2604.77</v>
      </c>
      <c r="Q470" s="13" t="n">
        <f aca="false">O470-P470</f>
        <v>853.37</v>
      </c>
      <c r="R470" s="11" t="s">
        <v>114</v>
      </c>
      <c r="S470" s="11" t="s">
        <v>47</v>
      </c>
    </row>
    <row r="471" customFormat="false" ht="15" hidden="false" customHeight="true" outlineLevel="0" collapsed="false">
      <c r="A471" s="15" t="s">
        <v>607</v>
      </c>
      <c r="B471" s="16" t="n">
        <v>45633</v>
      </c>
      <c r="C471" s="15" t="s">
        <v>49</v>
      </c>
      <c r="D471" s="15" t="s">
        <v>97</v>
      </c>
      <c r="E471" s="15" t="s">
        <v>108</v>
      </c>
      <c r="F471" s="15" t="s">
        <v>118</v>
      </c>
      <c r="G471" s="15" t="s">
        <v>77</v>
      </c>
      <c r="H471" s="15" t="s">
        <v>84</v>
      </c>
      <c r="I471" s="15" t="s">
        <v>85</v>
      </c>
      <c r="J471" s="15" t="s">
        <v>86</v>
      </c>
      <c r="K471" s="17" t="n">
        <v>480</v>
      </c>
      <c r="L471" s="15" t="n">
        <v>3</v>
      </c>
      <c r="M471" s="18" t="n">
        <v>0.2</v>
      </c>
      <c r="N471" s="17" t="n">
        <v>380</v>
      </c>
      <c r="O471" s="17" t="n">
        <f aca="false">K471*L471*(1-M471)</f>
        <v>1152</v>
      </c>
      <c r="P471" s="17" t="n">
        <f aca="false">N471*L471</f>
        <v>1140</v>
      </c>
      <c r="Q471" s="17" t="n">
        <f aca="false">O471-P471</f>
        <v>12</v>
      </c>
      <c r="R471" s="15" t="s">
        <v>46</v>
      </c>
      <c r="S471" s="15" t="s">
        <v>187</v>
      </c>
    </row>
    <row r="472" customFormat="false" ht="15" hidden="false" customHeight="true" outlineLevel="0" collapsed="false">
      <c r="A472" s="11" t="s">
        <v>608</v>
      </c>
      <c r="B472" s="12" t="n">
        <v>45633</v>
      </c>
      <c r="C472" s="11" t="s">
        <v>49</v>
      </c>
      <c r="D472" s="11" t="s">
        <v>50</v>
      </c>
      <c r="E472" s="11" t="s">
        <v>50</v>
      </c>
      <c r="F472" s="11" t="s">
        <v>135</v>
      </c>
      <c r="G472" s="11" t="s">
        <v>77</v>
      </c>
      <c r="H472" s="11" t="s">
        <v>78</v>
      </c>
      <c r="I472" s="11" t="s">
        <v>79</v>
      </c>
      <c r="J472" s="11" t="s">
        <v>80</v>
      </c>
      <c r="K472" s="13" t="n">
        <v>3236.08</v>
      </c>
      <c r="L472" s="11" t="n">
        <v>13</v>
      </c>
      <c r="M472" s="14" t="n">
        <v>0.05</v>
      </c>
      <c r="N472" s="13" t="n">
        <v>2729</v>
      </c>
      <c r="O472" s="13" t="n">
        <f aca="false">K472*L472*(1-M472)</f>
        <v>39965.588</v>
      </c>
      <c r="P472" s="13" t="n">
        <f aca="false">N472*L472</f>
        <v>35477</v>
      </c>
      <c r="Q472" s="13" t="n">
        <f aca="false">O472-P472</f>
        <v>4488.588</v>
      </c>
      <c r="R472" s="11" t="s">
        <v>167</v>
      </c>
      <c r="S472" s="11" t="s">
        <v>72</v>
      </c>
    </row>
    <row r="473" customFormat="false" ht="15" hidden="false" customHeight="true" outlineLevel="0" collapsed="false">
      <c r="A473" s="15" t="s">
        <v>609</v>
      </c>
      <c r="B473" s="16" t="n">
        <v>45634</v>
      </c>
      <c r="C473" s="15" t="s">
        <v>49</v>
      </c>
      <c r="D473" s="15" t="s">
        <v>50</v>
      </c>
      <c r="E473" s="15" t="s">
        <v>50</v>
      </c>
      <c r="F473" s="15" t="s">
        <v>41</v>
      </c>
      <c r="G473" s="15" t="s">
        <v>42</v>
      </c>
      <c r="H473" s="15" t="s">
        <v>53</v>
      </c>
      <c r="I473" s="15" t="s">
        <v>94</v>
      </c>
      <c r="J473" s="15" t="s">
        <v>95</v>
      </c>
      <c r="K473" s="17" t="n">
        <v>31.84</v>
      </c>
      <c r="L473" s="15" t="n">
        <v>88</v>
      </c>
      <c r="M473" s="18" t="n">
        <v>0.05</v>
      </c>
      <c r="N473" s="17" t="n">
        <v>18.35</v>
      </c>
      <c r="O473" s="17" t="n">
        <f aca="false">K473*L473*(1-M473)</f>
        <v>2661.824</v>
      </c>
      <c r="P473" s="17" t="n">
        <f aca="false">N473*L473</f>
        <v>1614.8</v>
      </c>
      <c r="Q473" s="17" t="n">
        <f aca="false">O473-P473</f>
        <v>1047.024</v>
      </c>
      <c r="R473" s="15" t="s">
        <v>114</v>
      </c>
      <c r="S473" s="15" t="s">
        <v>47</v>
      </c>
    </row>
    <row r="474" customFormat="false" ht="15" hidden="false" customHeight="true" outlineLevel="0" collapsed="false">
      <c r="A474" s="11" t="s">
        <v>610</v>
      </c>
      <c r="B474" s="12" t="n">
        <v>45634</v>
      </c>
      <c r="C474" s="11" t="s">
        <v>38</v>
      </c>
      <c r="D474" s="11" t="s">
        <v>39</v>
      </c>
      <c r="E474" s="11" t="s">
        <v>40</v>
      </c>
      <c r="F474" s="11" t="s">
        <v>177</v>
      </c>
      <c r="G474" s="11" t="s">
        <v>130</v>
      </c>
      <c r="H474" s="11" t="s">
        <v>78</v>
      </c>
      <c r="I474" s="11" t="s">
        <v>79</v>
      </c>
      <c r="J474" s="11" t="s">
        <v>216</v>
      </c>
      <c r="K474" s="13" t="n">
        <v>4545</v>
      </c>
      <c r="L474" s="11" t="n">
        <v>9</v>
      </c>
      <c r="M474" s="14" t="n">
        <v>0</v>
      </c>
      <c r="N474" s="13" t="n">
        <v>3867.14</v>
      </c>
      <c r="O474" s="13" t="n">
        <f aca="false">K474*L474*(1-M474)</f>
        <v>40905</v>
      </c>
      <c r="P474" s="13" t="n">
        <f aca="false">N474*L474</f>
        <v>34804.26</v>
      </c>
      <c r="Q474" s="13" t="n">
        <f aca="false">O474-P474</f>
        <v>6100.74</v>
      </c>
      <c r="R474" s="11" t="s">
        <v>46</v>
      </c>
      <c r="S474" s="11" t="s">
        <v>187</v>
      </c>
    </row>
    <row r="475" customFormat="false" ht="15" hidden="false" customHeight="true" outlineLevel="0" collapsed="false">
      <c r="A475" s="15" t="s">
        <v>611</v>
      </c>
      <c r="B475" s="16" t="n">
        <v>45634</v>
      </c>
      <c r="C475" s="15" t="s">
        <v>74</v>
      </c>
      <c r="D475" s="15" t="s">
        <v>171</v>
      </c>
      <c r="E475" s="15" t="s">
        <v>172</v>
      </c>
      <c r="F475" s="15" t="s">
        <v>123</v>
      </c>
      <c r="G475" s="15" t="s">
        <v>42</v>
      </c>
      <c r="H475" s="15" t="s">
        <v>53</v>
      </c>
      <c r="I475" s="15" t="s">
        <v>69</v>
      </c>
      <c r="J475" s="15" t="s">
        <v>128</v>
      </c>
      <c r="K475" s="17" t="n">
        <v>15.51</v>
      </c>
      <c r="L475" s="15" t="n">
        <v>167</v>
      </c>
      <c r="M475" s="18" t="n">
        <v>0.05</v>
      </c>
      <c r="N475" s="17" t="n">
        <v>10.69</v>
      </c>
      <c r="O475" s="17" t="n">
        <f aca="false">K475*L475*(1-M475)</f>
        <v>2460.6615</v>
      </c>
      <c r="P475" s="17" t="n">
        <f aca="false">N475*L475</f>
        <v>1785.23</v>
      </c>
      <c r="Q475" s="17" t="n">
        <f aca="false">O475-P475</f>
        <v>675.4315</v>
      </c>
      <c r="R475" s="15" t="s">
        <v>63</v>
      </c>
      <c r="S475" s="15" t="s">
        <v>47</v>
      </c>
    </row>
    <row r="476" customFormat="false" ht="15" hidden="false" customHeight="true" outlineLevel="0" collapsed="false">
      <c r="A476" s="11" t="s">
        <v>612</v>
      </c>
      <c r="B476" s="12" t="n">
        <v>45634</v>
      </c>
      <c r="C476" s="11" t="s">
        <v>57</v>
      </c>
      <c r="D476" s="11" t="s">
        <v>162</v>
      </c>
      <c r="E476" s="11" t="s">
        <v>163</v>
      </c>
      <c r="F476" s="11" t="s">
        <v>177</v>
      </c>
      <c r="G476" s="11" t="s">
        <v>77</v>
      </c>
      <c r="H476" s="11" t="s">
        <v>43</v>
      </c>
      <c r="I476" s="11" t="s">
        <v>44</v>
      </c>
      <c r="J476" s="11" t="s">
        <v>106</v>
      </c>
      <c r="K476" s="13" t="n">
        <v>373.72</v>
      </c>
      <c r="L476" s="11" t="n">
        <v>50</v>
      </c>
      <c r="M476" s="14" t="n">
        <v>0</v>
      </c>
      <c r="N476" s="13" t="n">
        <v>127.56</v>
      </c>
      <c r="O476" s="13" t="n">
        <f aca="false">K476*L476*(1-M476)</f>
        <v>18686</v>
      </c>
      <c r="P476" s="13" t="n">
        <f aca="false">N476*L476</f>
        <v>6378</v>
      </c>
      <c r="Q476" s="13" t="n">
        <f aca="false">O476-P476</f>
        <v>12308</v>
      </c>
      <c r="R476" s="11" t="s">
        <v>46</v>
      </c>
      <c r="S476" s="11" t="s">
        <v>47</v>
      </c>
    </row>
    <row r="477" customFormat="false" ht="15" hidden="false" customHeight="true" outlineLevel="0" collapsed="false">
      <c r="A477" s="15" t="s">
        <v>613</v>
      </c>
      <c r="B477" s="16" t="n">
        <v>45636</v>
      </c>
      <c r="C477" s="15" t="s">
        <v>65</v>
      </c>
      <c r="D477" s="15" t="s">
        <v>149</v>
      </c>
      <c r="E477" s="15" t="s">
        <v>150</v>
      </c>
      <c r="F477" s="15" t="s">
        <v>68</v>
      </c>
      <c r="G477" s="15" t="s">
        <v>77</v>
      </c>
      <c r="H477" s="15" t="s">
        <v>53</v>
      </c>
      <c r="I477" s="15" t="s">
        <v>94</v>
      </c>
      <c r="J477" s="15" t="s">
        <v>131</v>
      </c>
      <c r="K477" s="17" t="n">
        <v>42.82</v>
      </c>
      <c r="L477" s="15" t="n">
        <v>99</v>
      </c>
      <c r="M477" s="18" t="n">
        <v>0.1</v>
      </c>
      <c r="N477" s="17" t="n">
        <v>25.41</v>
      </c>
      <c r="O477" s="17" t="n">
        <f aca="false">K477*L477*(1-M477)</f>
        <v>3815.262</v>
      </c>
      <c r="P477" s="17" t="n">
        <f aca="false">N477*L477</f>
        <v>2515.59</v>
      </c>
      <c r="Q477" s="17" t="n">
        <f aca="false">O477-P477</f>
        <v>1299.672</v>
      </c>
      <c r="R477" s="15" t="s">
        <v>63</v>
      </c>
      <c r="S477" s="15" t="s">
        <v>47</v>
      </c>
    </row>
    <row r="478" customFormat="false" ht="15" hidden="false" customHeight="true" outlineLevel="0" collapsed="false">
      <c r="A478" s="11" t="s">
        <v>614</v>
      </c>
      <c r="B478" s="12" t="n">
        <v>45637</v>
      </c>
      <c r="C478" s="11" t="s">
        <v>65</v>
      </c>
      <c r="D478" s="11" t="s">
        <v>149</v>
      </c>
      <c r="E478" s="11" t="s">
        <v>150</v>
      </c>
      <c r="F478" s="11" t="s">
        <v>60</v>
      </c>
      <c r="G478" s="11" t="s">
        <v>77</v>
      </c>
      <c r="H478" s="11" t="s">
        <v>53</v>
      </c>
      <c r="I478" s="11" t="s">
        <v>54</v>
      </c>
      <c r="J478" s="11" t="s">
        <v>113</v>
      </c>
      <c r="K478" s="13" t="n">
        <v>15.33</v>
      </c>
      <c r="L478" s="11" t="n">
        <v>128</v>
      </c>
      <c r="M478" s="14" t="n">
        <v>0.05</v>
      </c>
      <c r="N478" s="13" t="n">
        <v>11.01</v>
      </c>
      <c r="O478" s="13" t="n">
        <f aca="false">K478*L478*(1-M478)</f>
        <v>1864.128</v>
      </c>
      <c r="P478" s="13" t="n">
        <f aca="false">N478*L478</f>
        <v>1409.28</v>
      </c>
      <c r="Q478" s="13" t="n">
        <f aca="false">O478-P478</f>
        <v>454.848</v>
      </c>
      <c r="R478" s="11" t="s">
        <v>46</v>
      </c>
      <c r="S478" s="11" t="s">
        <v>47</v>
      </c>
    </row>
    <row r="479" customFormat="false" ht="15" hidden="false" customHeight="true" outlineLevel="0" collapsed="false">
      <c r="A479" s="15" t="s">
        <v>615</v>
      </c>
      <c r="B479" s="16" t="n">
        <v>45637</v>
      </c>
      <c r="C479" s="15" t="s">
        <v>65</v>
      </c>
      <c r="D479" s="15" t="s">
        <v>116</v>
      </c>
      <c r="E479" s="15" t="s">
        <v>117</v>
      </c>
      <c r="F479" s="15" t="s">
        <v>135</v>
      </c>
      <c r="G479" s="15" t="s">
        <v>52</v>
      </c>
      <c r="H479" s="15" t="s">
        <v>84</v>
      </c>
      <c r="I479" s="15" t="s">
        <v>85</v>
      </c>
      <c r="J479" s="15" t="s">
        <v>86</v>
      </c>
      <c r="K479" s="17" t="n">
        <v>461.73</v>
      </c>
      <c r="L479" s="15" t="n">
        <v>17</v>
      </c>
      <c r="M479" s="18" t="n">
        <v>0.2</v>
      </c>
      <c r="N479" s="17" t="n">
        <v>351.49</v>
      </c>
      <c r="O479" s="17" t="n">
        <f aca="false">K479*L479*(1-M479)</f>
        <v>6279.528</v>
      </c>
      <c r="P479" s="17" t="n">
        <f aca="false">N479*L479</f>
        <v>5975.33</v>
      </c>
      <c r="Q479" s="17" t="n">
        <f aca="false">O479-P479</f>
        <v>304.198</v>
      </c>
      <c r="R479" s="15" t="s">
        <v>63</v>
      </c>
      <c r="S479" s="15" t="s">
        <v>47</v>
      </c>
    </row>
    <row r="480" customFormat="false" ht="15" hidden="false" customHeight="true" outlineLevel="0" collapsed="false">
      <c r="A480" s="11" t="s">
        <v>616</v>
      </c>
      <c r="B480" s="12" t="n">
        <v>45637</v>
      </c>
      <c r="C480" s="11" t="s">
        <v>38</v>
      </c>
      <c r="D480" s="11" t="s">
        <v>39</v>
      </c>
      <c r="E480" s="11" t="s">
        <v>40</v>
      </c>
      <c r="F480" s="11" t="s">
        <v>99</v>
      </c>
      <c r="G480" s="11" t="s">
        <v>126</v>
      </c>
      <c r="H480" s="11" t="s">
        <v>84</v>
      </c>
      <c r="I480" s="11" t="s">
        <v>136</v>
      </c>
      <c r="J480" s="11" t="s">
        <v>137</v>
      </c>
      <c r="K480" s="13" t="n">
        <v>219.58</v>
      </c>
      <c r="L480" s="11" t="n">
        <v>39</v>
      </c>
      <c r="M480" s="14" t="n">
        <v>0</v>
      </c>
      <c r="N480" s="13" t="n">
        <v>168.81</v>
      </c>
      <c r="O480" s="13" t="n">
        <f aca="false">K480*L480*(1-M480)</f>
        <v>8563.62</v>
      </c>
      <c r="P480" s="13" t="n">
        <f aca="false">N480*L480</f>
        <v>6583.59</v>
      </c>
      <c r="Q480" s="13" t="n">
        <f aca="false">O480-P480</f>
        <v>1980.03</v>
      </c>
      <c r="R480" s="11" t="s">
        <v>63</v>
      </c>
      <c r="S480" s="11" t="s">
        <v>72</v>
      </c>
    </row>
    <row r="481" customFormat="false" ht="15" hidden="false" customHeight="true" outlineLevel="0" collapsed="false">
      <c r="A481" s="15" t="s">
        <v>617</v>
      </c>
      <c r="B481" s="16" t="n">
        <v>45640</v>
      </c>
      <c r="C481" s="15" t="s">
        <v>65</v>
      </c>
      <c r="D481" s="15" t="s">
        <v>82</v>
      </c>
      <c r="E481" s="15" t="s">
        <v>83</v>
      </c>
      <c r="F481" s="15" t="s">
        <v>177</v>
      </c>
      <c r="G481" s="15" t="s">
        <v>52</v>
      </c>
      <c r="H481" s="15" t="s">
        <v>43</v>
      </c>
      <c r="I481" s="15" t="s">
        <v>44</v>
      </c>
      <c r="J481" s="15" t="s">
        <v>106</v>
      </c>
      <c r="K481" s="17" t="n">
        <v>470.42</v>
      </c>
      <c r="L481" s="15" t="n">
        <v>32</v>
      </c>
      <c r="M481" s="18" t="n">
        <v>0.05</v>
      </c>
      <c r="N481" s="17" t="n">
        <v>150.94</v>
      </c>
      <c r="O481" s="17" t="n">
        <f aca="false">K481*L481*(1-M481)</f>
        <v>14300.768</v>
      </c>
      <c r="P481" s="17" t="n">
        <f aca="false">N481*L481</f>
        <v>4830.08</v>
      </c>
      <c r="Q481" s="17" t="n">
        <f aca="false">O481-P481</f>
        <v>9470.688</v>
      </c>
      <c r="R481" s="15" t="s">
        <v>63</v>
      </c>
      <c r="S481" s="15" t="s">
        <v>47</v>
      </c>
    </row>
    <row r="482" customFormat="false" ht="15" hidden="false" customHeight="true" outlineLevel="0" collapsed="false">
      <c r="A482" s="11" t="s">
        <v>618</v>
      </c>
      <c r="B482" s="12" t="n">
        <v>45640</v>
      </c>
      <c r="C482" s="11" t="s">
        <v>65</v>
      </c>
      <c r="D482" s="11" t="s">
        <v>82</v>
      </c>
      <c r="E482" s="11" t="s">
        <v>83</v>
      </c>
      <c r="F482" s="11" t="s">
        <v>135</v>
      </c>
      <c r="G482" s="11" t="s">
        <v>52</v>
      </c>
      <c r="H482" s="11" t="s">
        <v>78</v>
      </c>
      <c r="I482" s="11" t="s">
        <v>120</v>
      </c>
      <c r="J482" s="11" t="s">
        <v>232</v>
      </c>
      <c r="K482" s="13" t="n">
        <v>198.2</v>
      </c>
      <c r="L482" s="11" t="n">
        <v>52</v>
      </c>
      <c r="M482" s="14" t="n">
        <v>0.15</v>
      </c>
      <c r="N482" s="13" t="n">
        <v>153.74</v>
      </c>
      <c r="O482" s="13" t="n">
        <f aca="false">K482*L482*(1-M482)</f>
        <v>8760.44</v>
      </c>
      <c r="P482" s="13" t="n">
        <f aca="false">N482*L482</f>
        <v>7994.48</v>
      </c>
      <c r="Q482" s="13" t="n">
        <f aca="false">O482-P482</f>
        <v>765.959999999998</v>
      </c>
      <c r="R482" s="11" t="s">
        <v>46</v>
      </c>
      <c r="S482" s="11" t="s">
        <v>47</v>
      </c>
    </row>
    <row r="483" customFormat="false" ht="15" hidden="false" customHeight="true" outlineLevel="0" collapsed="false">
      <c r="A483" s="15" t="s">
        <v>619</v>
      </c>
      <c r="B483" s="16" t="n">
        <v>45640</v>
      </c>
      <c r="C483" s="15" t="s">
        <v>38</v>
      </c>
      <c r="D483" s="15" t="s">
        <v>88</v>
      </c>
      <c r="E483" s="15" t="s">
        <v>89</v>
      </c>
      <c r="F483" s="15" t="s">
        <v>177</v>
      </c>
      <c r="G483" s="15" t="s">
        <v>42</v>
      </c>
      <c r="H483" s="15" t="s">
        <v>43</v>
      </c>
      <c r="I483" s="15" t="s">
        <v>61</v>
      </c>
      <c r="J483" s="15" t="s">
        <v>62</v>
      </c>
      <c r="K483" s="17" t="n">
        <v>352.69</v>
      </c>
      <c r="L483" s="15" t="n">
        <v>36</v>
      </c>
      <c r="M483" s="18" t="n">
        <v>0.15</v>
      </c>
      <c r="N483" s="17" t="n">
        <v>151.04</v>
      </c>
      <c r="O483" s="17" t="n">
        <f aca="false">K483*L483*(1-M483)</f>
        <v>10792.314</v>
      </c>
      <c r="P483" s="17" t="n">
        <f aca="false">N483*L483</f>
        <v>5437.44</v>
      </c>
      <c r="Q483" s="17" t="n">
        <f aca="false">O483-P483</f>
        <v>5354.874</v>
      </c>
      <c r="R483" s="15" t="s">
        <v>63</v>
      </c>
      <c r="S483" s="15" t="s">
        <v>47</v>
      </c>
    </row>
    <row r="484" customFormat="false" ht="15" hidden="false" customHeight="true" outlineLevel="0" collapsed="false">
      <c r="A484" s="11" t="s">
        <v>620</v>
      </c>
      <c r="B484" s="12" t="n">
        <v>45640</v>
      </c>
      <c r="C484" s="11" t="s">
        <v>49</v>
      </c>
      <c r="D484" s="11" t="s">
        <v>97</v>
      </c>
      <c r="E484" s="11" t="s">
        <v>112</v>
      </c>
      <c r="F484" s="11" t="s">
        <v>51</v>
      </c>
      <c r="G484" s="11" t="s">
        <v>130</v>
      </c>
      <c r="H484" s="11" t="s">
        <v>84</v>
      </c>
      <c r="I484" s="11" t="s">
        <v>85</v>
      </c>
      <c r="J484" s="11" t="s">
        <v>90</v>
      </c>
      <c r="K484" s="13" t="n">
        <v>679.89</v>
      </c>
      <c r="L484" s="11" t="n">
        <v>20</v>
      </c>
      <c r="M484" s="14" t="n">
        <v>0</v>
      </c>
      <c r="N484" s="13" t="n">
        <v>531.65</v>
      </c>
      <c r="O484" s="13" t="n">
        <f aca="false">K484*L484*(1-M484)</f>
        <v>13597.8</v>
      </c>
      <c r="P484" s="13" t="n">
        <f aca="false">N484*L484</f>
        <v>10633</v>
      </c>
      <c r="Q484" s="13" t="n">
        <f aca="false">O484-P484</f>
        <v>2964.8</v>
      </c>
      <c r="R484" s="11" t="s">
        <v>63</v>
      </c>
      <c r="S484" s="11" t="s">
        <v>47</v>
      </c>
    </row>
    <row r="485" customFormat="false" ht="15" hidden="false" customHeight="true" outlineLevel="0" collapsed="false">
      <c r="A485" s="15" t="s">
        <v>621</v>
      </c>
      <c r="B485" s="16" t="n">
        <v>45642</v>
      </c>
      <c r="C485" s="15" t="s">
        <v>49</v>
      </c>
      <c r="D485" s="15" t="s">
        <v>97</v>
      </c>
      <c r="E485" s="15" t="s">
        <v>112</v>
      </c>
      <c r="F485" s="15" t="s">
        <v>41</v>
      </c>
      <c r="G485" s="15" t="s">
        <v>77</v>
      </c>
      <c r="H485" s="15" t="s">
        <v>84</v>
      </c>
      <c r="I485" s="15" t="s">
        <v>136</v>
      </c>
      <c r="J485" s="15" t="s">
        <v>247</v>
      </c>
      <c r="K485" s="17" t="n">
        <v>680.25</v>
      </c>
      <c r="L485" s="15" t="n">
        <v>15</v>
      </c>
      <c r="M485" s="18" t="n">
        <v>0.05</v>
      </c>
      <c r="N485" s="17" t="n">
        <v>533.22</v>
      </c>
      <c r="O485" s="17" t="n">
        <f aca="false">K485*L485*(1-M485)</f>
        <v>9693.5625</v>
      </c>
      <c r="P485" s="17" t="n">
        <f aca="false">N485*L485</f>
        <v>7998.3</v>
      </c>
      <c r="Q485" s="17" t="n">
        <f aca="false">O485-P485</f>
        <v>1695.2625</v>
      </c>
      <c r="R485" s="15" t="s">
        <v>46</v>
      </c>
      <c r="S485" s="15" t="s">
        <v>47</v>
      </c>
    </row>
    <row r="486" customFormat="false" ht="15" hidden="false" customHeight="true" outlineLevel="0" collapsed="false">
      <c r="A486" s="11" t="s">
        <v>622</v>
      </c>
      <c r="B486" s="12" t="n">
        <v>45642</v>
      </c>
      <c r="C486" s="11" t="s">
        <v>65</v>
      </c>
      <c r="D486" s="11" t="s">
        <v>116</v>
      </c>
      <c r="E486" s="11" t="s">
        <v>117</v>
      </c>
      <c r="F486" s="11" t="s">
        <v>135</v>
      </c>
      <c r="G486" s="11" t="s">
        <v>126</v>
      </c>
      <c r="H486" s="11" t="s">
        <v>84</v>
      </c>
      <c r="I486" s="11" t="s">
        <v>136</v>
      </c>
      <c r="J486" s="11" t="s">
        <v>137</v>
      </c>
      <c r="K486" s="13" t="n">
        <v>300.43</v>
      </c>
      <c r="L486" s="11" t="n">
        <v>22</v>
      </c>
      <c r="M486" s="14" t="n">
        <v>0.1</v>
      </c>
      <c r="N486" s="13" t="n">
        <v>224.48</v>
      </c>
      <c r="O486" s="13" t="n">
        <f aca="false">K486*L486*(1-M486)</f>
        <v>5948.514</v>
      </c>
      <c r="P486" s="13" t="n">
        <f aca="false">N486*L486</f>
        <v>4938.56</v>
      </c>
      <c r="Q486" s="13" t="n">
        <f aca="false">O486-P486</f>
        <v>1009.954</v>
      </c>
      <c r="R486" s="11" t="s">
        <v>114</v>
      </c>
      <c r="S486" s="11" t="s">
        <v>187</v>
      </c>
    </row>
    <row r="487" customFormat="false" ht="15" hidden="false" customHeight="true" outlineLevel="0" collapsed="false">
      <c r="A487" s="15" t="s">
        <v>623</v>
      </c>
      <c r="B487" s="16" t="n">
        <v>45643</v>
      </c>
      <c r="C487" s="15" t="s">
        <v>65</v>
      </c>
      <c r="D487" s="15" t="s">
        <v>116</v>
      </c>
      <c r="E487" s="15" t="s">
        <v>117</v>
      </c>
      <c r="F487" s="15" t="s">
        <v>109</v>
      </c>
      <c r="G487" s="15" t="s">
        <v>77</v>
      </c>
      <c r="H487" s="15" t="s">
        <v>53</v>
      </c>
      <c r="I487" s="15" t="s">
        <v>94</v>
      </c>
      <c r="J487" s="15" t="s">
        <v>131</v>
      </c>
      <c r="K487" s="17" t="n">
        <v>36.87</v>
      </c>
      <c r="L487" s="15" t="n">
        <v>78</v>
      </c>
      <c r="M487" s="18" t="n">
        <v>0</v>
      </c>
      <c r="N487" s="17" t="n">
        <v>23.46</v>
      </c>
      <c r="O487" s="17" t="n">
        <f aca="false">K487*L487*(1-M487)</f>
        <v>2875.86</v>
      </c>
      <c r="P487" s="17" t="n">
        <f aca="false">N487*L487</f>
        <v>1829.88</v>
      </c>
      <c r="Q487" s="17" t="n">
        <f aca="false">O487-P487</f>
        <v>1045.98</v>
      </c>
      <c r="R487" s="15" t="s">
        <v>46</v>
      </c>
      <c r="S487" s="15" t="s">
        <v>47</v>
      </c>
    </row>
    <row r="488" customFormat="false" ht="15" hidden="false" customHeight="true" outlineLevel="0" collapsed="false">
      <c r="A488" s="11" t="s">
        <v>624</v>
      </c>
      <c r="B488" s="12" t="n">
        <v>45644</v>
      </c>
      <c r="C488" s="11" t="s">
        <v>74</v>
      </c>
      <c r="D488" s="11" t="s">
        <v>171</v>
      </c>
      <c r="E488" s="11" t="s">
        <v>172</v>
      </c>
      <c r="F488" s="11" t="s">
        <v>51</v>
      </c>
      <c r="G488" s="11" t="s">
        <v>52</v>
      </c>
      <c r="H488" s="11" t="s">
        <v>53</v>
      </c>
      <c r="I488" s="11" t="s">
        <v>94</v>
      </c>
      <c r="J488" s="11" t="s">
        <v>95</v>
      </c>
      <c r="K488" s="13" t="n">
        <v>20.75</v>
      </c>
      <c r="L488" s="11" t="n">
        <v>90</v>
      </c>
      <c r="M488" s="14" t="n">
        <v>0.1</v>
      </c>
      <c r="N488" s="13" t="n">
        <v>14.07</v>
      </c>
      <c r="O488" s="13" t="n">
        <f aca="false">K488*L488*(1-M488)</f>
        <v>1680.75</v>
      </c>
      <c r="P488" s="13" t="n">
        <f aca="false">N488*L488</f>
        <v>1266.3</v>
      </c>
      <c r="Q488" s="13" t="n">
        <f aca="false">O488-P488</f>
        <v>414.45</v>
      </c>
      <c r="R488" s="11" t="s">
        <v>167</v>
      </c>
      <c r="S488" s="11" t="s">
        <v>187</v>
      </c>
    </row>
    <row r="489" customFormat="false" ht="15" hidden="false" customHeight="true" outlineLevel="0" collapsed="false">
      <c r="A489" s="15" t="s">
        <v>625</v>
      </c>
      <c r="B489" s="16" t="n">
        <v>45644</v>
      </c>
      <c r="C489" s="15" t="s">
        <v>65</v>
      </c>
      <c r="D489" s="15" t="s">
        <v>116</v>
      </c>
      <c r="E489" s="15" t="s">
        <v>117</v>
      </c>
      <c r="F489" s="15" t="s">
        <v>177</v>
      </c>
      <c r="G489" s="15" t="s">
        <v>42</v>
      </c>
      <c r="H489" s="15" t="s">
        <v>43</v>
      </c>
      <c r="I489" s="15" t="s">
        <v>61</v>
      </c>
      <c r="J489" s="15" t="s">
        <v>62</v>
      </c>
      <c r="K489" s="17" t="n">
        <v>459.81</v>
      </c>
      <c r="L489" s="15" t="n">
        <v>30</v>
      </c>
      <c r="M489" s="18" t="n">
        <v>0.15</v>
      </c>
      <c r="N489" s="17" t="n">
        <v>149.42</v>
      </c>
      <c r="O489" s="17" t="n">
        <f aca="false">K489*L489*(1-M489)</f>
        <v>11725.155</v>
      </c>
      <c r="P489" s="17" t="n">
        <f aca="false">N489*L489</f>
        <v>4482.6</v>
      </c>
      <c r="Q489" s="17" t="n">
        <f aca="false">O489-P489</f>
        <v>7242.555</v>
      </c>
      <c r="R489" s="15" t="s">
        <v>71</v>
      </c>
      <c r="S489" s="15" t="s">
        <v>47</v>
      </c>
    </row>
    <row r="490" customFormat="false" ht="15" hidden="false" customHeight="true" outlineLevel="0" collapsed="false">
      <c r="A490" s="11" t="s">
        <v>626</v>
      </c>
      <c r="B490" s="12" t="n">
        <v>45645</v>
      </c>
      <c r="C490" s="11" t="s">
        <v>38</v>
      </c>
      <c r="D490" s="11" t="s">
        <v>39</v>
      </c>
      <c r="E490" s="11" t="s">
        <v>40</v>
      </c>
      <c r="F490" s="11" t="s">
        <v>118</v>
      </c>
      <c r="G490" s="11" t="s">
        <v>77</v>
      </c>
      <c r="H490" s="11" t="s">
        <v>78</v>
      </c>
      <c r="I490" s="11" t="s">
        <v>79</v>
      </c>
      <c r="J490" s="11" t="s">
        <v>80</v>
      </c>
      <c r="K490" s="13" t="n">
        <v>3564.42</v>
      </c>
      <c r="L490" s="11" t="n">
        <v>14</v>
      </c>
      <c r="M490" s="14" t="n">
        <v>0.05</v>
      </c>
      <c r="N490" s="13" t="n">
        <v>3088.32</v>
      </c>
      <c r="O490" s="13" t="n">
        <f aca="false">K490*L490*(1-M490)</f>
        <v>47406.786</v>
      </c>
      <c r="P490" s="13" t="n">
        <f aca="false">N490*L490</f>
        <v>43236.48</v>
      </c>
      <c r="Q490" s="13" t="n">
        <f aca="false">O490-P490</f>
        <v>4170.306</v>
      </c>
      <c r="R490" s="11" t="s">
        <v>114</v>
      </c>
      <c r="S490" s="11" t="s">
        <v>124</v>
      </c>
    </row>
    <row r="491" customFormat="false" ht="15" hidden="false" customHeight="true" outlineLevel="0" collapsed="false">
      <c r="A491" s="15" t="s">
        <v>627</v>
      </c>
      <c r="B491" s="16" t="n">
        <v>45645</v>
      </c>
      <c r="C491" s="15" t="s">
        <v>65</v>
      </c>
      <c r="D491" s="15" t="s">
        <v>149</v>
      </c>
      <c r="E491" s="15" t="s">
        <v>150</v>
      </c>
      <c r="F491" s="15" t="s">
        <v>177</v>
      </c>
      <c r="G491" s="15" t="s">
        <v>130</v>
      </c>
      <c r="H491" s="15" t="s">
        <v>53</v>
      </c>
      <c r="I491" s="15" t="s">
        <v>69</v>
      </c>
      <c r="J491" s="15" t="s">
        <v>128</v>
      </c>
      <c r="K491" s="17" t="n">
        <v>16.12</v>
      </c>
      <c r="L491" s="15" t="n">
        <v>81</v>
      </c>
      <c r="M491" s="18" t="n">
        <v>0</v>
      </c>
      <c r="N491" s="17" t="n">
        <v>10.36</v>
      </c>
      <c r="O491" s="17" t="n">
        <f aca="false">K491*L491*(1-M491)</f>
        <v>1305.72</v>
      </c>
      <c r="P491" s="17" t="n">
        <f aca="false">N491*L491</f>
        <v>839.16</v>
      </c>
      <c r="Q491" s="17" t="n">
        <f aca="false">O491-P491</f>
        <v>466.56</v>
      </c>
      <c r="R491" s="15" t="s">
        <v>46</v>
      </c>
      <c r="S491" s="15" t="s">
        <v>47</v>
      </c>
    </row>
    <row r="492" customFormat="false" ht="15" hidden="false" customHeight="true" outlineLevel="0" collapsed="false">
      <c r="A492" s="11" t="s">
        <v>628</v>
      </c>
      <c r="B492" s="12" t="n">
        <v>45645</v>
      </c>
      <c r="C492" s="11" t="s">
        <v>74</v>
      </c>
      <c r="D492" s="11" t="s">
        <v>75</v>
      </c>
      <c r="E492" s="11" t="s">
        <v>76</v>
      </c>
      <c r="F492" s="11" t="s">
        <v>41</v>
      </c>
      <c r="G492" s="11" t="s">
        <v>126</v>
      </c>
      <c r="H492" s="11" t="s">
        <v>43</v>
      </c>
      <c r="I492" s="11" t="s">
        <v>61</v>
      </c>
      <c r="J492" s="11" t="s">
        <v>62</v>
      </c>
      <c r="K492" s="13" t="n">
        <v>422.37</v>
      </c>
      <c r="L492" s="11" t="n">
        <v>26</v>
      </c>
      <c r="M492" s="14" t="n">
        <v>0.15</v>
      </c>
      <c r="N492" s="13" t="n">
        <v>164.63</v>
      </c>
      <c r="O492" s="13" t="n">
        <f aca="false">K492*L492*(1-M492)</f>
        <v>9334.377</v>
      </c>
      <c r="P492" s="13" t="n">
        <f aca="false">N492*L492</f>
        <v>4280.38</v>
      </c>
      <c r="Q492" s="13" t="n">
        <f aca="false">O492-P492</f>
        <v>5053.997</v>
      </c>
      <c r="R492" s="11" t="s">
        <v>114</v>
      </c>
      <c r="S492" s="11" t="s">
        <v>47</v>
      </c>
    </row>
    <row r="493" customFormat="false" ht="15" hidden="false" customHeight="true" outlineLevel="0" collapsed="false">
      <c r="A493" s="15" t="s">
        <v>629</v>
      </c>
      <c r="B493" s="16" t="n">
        <v>45647</v>
      </c>
      <c r="C493" s="15" t="s">
        <v>38</v>
      </c>
      <c r="D493" s="15" t="s">
        <v>92</v>
      </c>
      <c r="E493" s="15" t="s">
        <v>93</v>
      </c>
      <c r="F493" s="15" t="s">
        <v>135</v>
      </c>
      <c r="G493" s="15" t="s">
        <v>42</v>
      </c>
      <c r="H493" s="15" t="s">
        <v>43</v>
      </c>
      <c r="I493" s="15" t="s">
        <v>61</v>
      </c>
      <c r="J493" s="15" t="s">
        <v>147</v>
      </c>
      <c r="K493" s="17" t="n">
        <v>303.19</v>
      </c>
      <c r="L493" s="15" t="n">
        <v>14</v>
      </c>
      <c r="M493" s="18" t="n">
        <v>0</v>
      </c>
      <c r="N493" s="17" t="n">
        <v>113.64</v>
      </c>
      <c r="O493" s="17" t="n">
        <f aca="false">K493*L493*(1-M493)</f>
        <v>4244.66</v>
      </c>
      <c r="P493" s="17" t="n">
        <f aca="false">N493*L493</f>
        <v>1590.96</v>
      </c>
      <c r="Q493" s="17" t="n">
        <f aca="false">O493-P493</f>
        <v>2653.7</v>
      </c>
      <c r="R493" s="15" t="s">
        <v>46</v>
      </c>
      <c r="S493" s="15" t="s">
        <v>47</v>
      </c>
    </row>
    <row r="494" customFormat="false" ht="15" hidden="false" customHeight="true" outlineLevel="0" collapsed="false">
      <c r="A494" s="11" t="s">
        <v>630</v>
      </c>
      <c r="B494" s="12" t="n">
        <v>45648</v>
      </c>
      <c r="C494" s="11" t="s">
        <v>65</v>
      </c>
      <c r="D494" s="11" t="s">
        <v>116</v>
      </c>
      <c r="E494" s="11" t="s">
        <v>117</v>
      </c>
      <c r="F494" s="11" t="s">
        <v>68</v>
      </c>
      <c r="G494" s="11" t="s">
        <v>130</v>
      </c>
      <c r="H494" s="11" t="s">
        <v>43</v>
      </c>
      <c r="I494" s="11" t="s">
        <v>61</v>
      </c>
      <c r="J494" s="11" t="s">
        <v>147</v>
      </c>
      <c r="K494" s="13" t="n">
        <v>291.41</v>
      </c>
      <c r="L494" s="11" t="n">
        <v>41</v>
      </c>
      <c r="M494" s="14" t="n">
        <v>0.05</v>
      </c>
      <c r="N494" s="13" t="n">
        <v>100.31</v>
      </c>
      <c r="O494" s="13" t="n">
        <f aca="false">K494*L494*(1-M494)</f>
        <v>11350.4195</v>
      </c>
      <c r="P494" s="13" t="n">
        <f aca="false">N494*L494</f>
        <v>4112.71</v>
      </c>
      <c r="Q494" s="13" t="n">
        <f aca="false">O494-P494</f>
        <v>7237.7095</v>
      </c>
      <c r="R494" s="11" t="s">
        <v>46</v>
      </c>
      <c r="S494" s="11" t="s">
        <v>47</v>
      </c>
    </row>
    <row r="495" customFormat="false" ht="15" hidden="false" customHeight="true" outlineLevel="0" collapsed="false">
      <c r="A495" s="15" t="s">
        <v>631</v>
      </c>
      <c r="B495" s="16" t="n">
        <v>45648</v>
      </c>
      <c r="C495" s="15" t="s">
        <v>38</v>
      </c>
      <c r="D495" s="15" t="s">
        <v>92</v>
      </c>
      <c r="E495" s="15" t="s">
        <v>93</v>
      </c>
      <c r="F495" s="15" t="s">
        <v>60</v>
      </c>
      <c r="G495" s="15" t="s">
        <v>42</v>
      </c>
      <c r="H495" s="15" t="s">
        <v>43</v>
      </c>
      <c r="I495" s="15" t="s">
        <v>44</v>
      </c>
      <c r="J495" s="15" t="s">
        <v>45</v>
      </c>
      <c r="K495" s="17" t="n">
        <v>154.59</v>
      </c>
      <c r="L495" s="15" t="n">
        <v>37</v>
      </c>
      <c r="M495" s="18" t="n">
        <v>0.2</v>
      </c>
      <c r="N495" s="17" t="n">
        <v>41.35</v>
      </c>
      <c r="O495" s="17" t="n">
        <f aca="false">K495*L495*(1-M495)</f>
        <v>4575.864</v>
      </c>
      <c r="P495" s="17" t="n">
        <f aca="false">N495*L495</f>
        <v>1529.95</v>
      </c>
      <c r="Q495" s="17" t="n">
        <f aca="false">O495-P495</f>
        <v>3045.914</v>
      </c>
      <c r="R495" s="15" t="s">
        <v>114</v>
      </c>
      <c r="S495" s="15" t="s">
        <v>47</v>
      </c>
    </row>
    <row r="496" customFormat="false" ht="15" hidden="false" customHeight="true" outlineLevel="0" collapsed="false">
      <c r="A496" s="11" t="s">
        <v>632</v>
      </c>
      <c r="B496" s="12" t="n">
        <v>45649</v>
      </c>
      <c r="C496" s="11" t="s">
        <v>74</v>
      </c>
      <c r="D496" s="11" t="s">
        <v>171</v>
      </c>
      <c r="E496" s="11" t="s">
        <v>172</v>
      </c>
      <c r="F496" s="11" t="s">
        <v>135</v>
      </c>
      <c r="G496" s="11" t="s">
        <v>52</v>
      </c>
      <c r="H496" s="11" t="s">
        <v>78</v>
      </c>
      <c r="I496" s="11" t="s">
        <v>143</v>
      </c>
      <c r="J496" s="11" t="s">
        <v>158</v>
      </c>
      <c r="K496" s="13" t="n">
        <v>870.87</v>
      </c>
      <c r="L496" s="11" t="n">
        <v>21</v>
      </c>
      <c r="M496" s="14" t="n">
        <v>0</v>
      </c>
      <c r="N496" s="13" t="n">
        <v>745.55</v>
      </c>
      <c r="O496" s="13" t="n">
        <f aca="false">K496*L496*(1-M496)</f>
        <v>18288.27</v>
      </c>
      <c r="P496" s="13" t="n">
        <f aca="false">N496*L496</f>
        <v>15656.55</v>
      </c>
      <c r="Q496" s="13" t="n">
        <f aca="false">O496-P496</f>
        <v>2631.72</v>
      </c>
      <c r="R496" s="11" t="s">
        <v>63</v>
      </c>
      <c r="S496" s="11" t="s">
        <v>47</v>
      </c>
    </row>
    <row r="497" customFormat="false" ht="15" hidden="false" customHeight="true" outlineLevel="0" collapsed="false">
      <c r="A497" s="15" t="s">
        <v>633</v>
      </c>
      <c r="B497" s="16" t="n">
        <v>45650</v>
      </c>
      <c r="C497" s="15" t="s">
        <v>38</v>
      </c>
      <c r="D497" s="15" t="s">
        <v>88</v>
      </c>
      <c r="E497" s="15" t="s">
        <v>89</v>
      </c>
      <c r="F497" s="15" t="s">
        <v>109</v>
      </c>
      <c r="G497" s="15" t="s">
        <v>52</v>
      </c>
      <c r="H497" s="15" t="s">
        <v>84</v>
      </c>
      <c r="I497" s="15" t="s">
        <v>136</v>
      </c>
      <c r="J497" s="15" t="s">
        <v>137</v>
      </c>
      <c r="K497" s="17" t="n">
        <v>314.14</v>
      </c>
      <c r="L497" s="15" t="n">
        <v>23</v>
      </c>
      <c r="M497" s="18" t="n">
        <v>0.1</v>
      </c>
      <c r="N497" s="17" t="n">
        <v>240.95</v>
      </c>
      <c r="O497" s="17" t="n">
        <f aca="false">K497*L497*(1-M497)</f>
        <v>6502.698</v>
      </c>
      <c r="P497" s="17" t="n">
        <f aca="false">N497*L497</f>
        <v>5541.85</v>
      </c>
      <c r="Q497" s="17" t="n">
        <f aca="false">O497-P497</f>
        <v>960.848</v>
      </c>
      <c r="R497" s="15" t="s">
        <v>167</v>
      </c>
      <c r="S497" s="15" t="s">
        <v>47</v>
      </c>
    </row>
    <row r="498" customFormat="false" ht="15" hidden="false" customHeight="true" outlineLevel="0" collapsed="false">
      <c r="A498" s="11" t="s">
        <v>634</v>
      </c>
      <c r="B498" s="12" t="n">
        <v>45650</v>
      </c>
      <c r="C498" s="11" t="s">
        <v>74</v>
      </c>
      <c r="D498" s="11" t="s">
        <v>171</v>
      </c>
      <c r="E498" s="11" t="s">
        <v>172</v>
      </c>
      <c r="F498" s="11" t="s">
        <v>109</v>
      </c>
      <c r="G498" s="11" t="s">
        <v>42</v>
      </c>
      <c r="H498" s="11" t="s">
        <v>43</v>
      </c>
      <c r="I498" s="11" t="s">
        <v>44</v>
      </c>
      <c r="J498" s="11" t="s">
        <v>106</v>
      </c>
      <c r="K498" s="13" t="n">
        <v>298.87</v>
      </c>
      <c r="L498" s="11" t="n">
        <v>13</v>
      </c>
      <c r="M498" s="14" t="n">
        <v>0</v>
      </c>
      <c r="N498" s="13" t="n">
        <v>120.33</v>
      </c>
      <c r="O498" s="13" t="n">
        <f aca="false">K498*L498*(1-M498)</f>
        <v>3885.31</v>
      </c>
      <c r="P498" s="13" t="n">
        <f aca="false">N498*L498</f>
        <v>1564.29</v>
      </c>
      <c r="Q498" s="13" t="n">
        <f aca="false">O498-P498</f>
        <v>2321.02</v>
      </c>
      <c r="R498" s="11" t="s">
        <v>46</v>
      </c>
      <c r="S498" s="11" t="s">
        <v>47</v>
      </c>
    </row>
    <row r="499" customFormat="false" ht="15" hidden="false" customHeight="true" outlineLevel="0" collapsed="false">
      <c r="A499" s="15" t="s">
        <v>635</v>
      </c>
      <c r="B499" s="16" t="n">
        <v>45651</v>
      </c>
      <c r="C499" s="15" t="s">
        <v>49</v>
      </c>
      <c r="D499" s="15" t="s">
        <v>152</v>
      </c>
      <c r="E499" s="15" t="s">
        <v>152</v>
      </c>
      <c r="F499" s="15" t="s">
        <v>118</v>
      </c>
      <c r="G499" s="15" t="s">
        <v>77</v>
      </c>
      <c r="H499" s="15" t="s">
        <v>84</v>
      </c>
      <c r="I499" s="15" t="s">
        <v>136</v>
      </c>
      <c r="J499" s="15" t="s">
        <v>137</v>
      </c>
      <c r="K499" s="17" t="n">
        <v>197.69</v>
      </c>
      <c r="L499" s="15" t="n">
        <v>4</v>
      </c>
      <c r="M499" s="18" t="n">
        <v>0</v>
      </c>
      <c r="N499" s="17" t="n">
        <v>144.68</v>
      </c>
      <c r="O499" s="17" t="n">
        <f aca="false">K499*L499*(1-M499)</f>
        <v>790.76</v>
      </c>
      <c r="P499" s="17" t="n">
        <f aca="false">N499*L499</f>
        <v>578.72</v>
      </c>
      <c r="Q499" s="17" t="n">
        <f aca="false">O499-P499</f>
        <v>212.04</v>
      </c>
      <c r="R499" s="15" t="s">
        <v>71</v>
      </c>
      <c r="S499" s="15" t="s">
        <v>47</v>
      </c>
    </row>
    <row r="500" customFormat="false" ht="15" hidden="false" customHeight="true" outlineLevel="0" collapsed="false">
      <c r="A500" s="11" t="s">
        <v>636</v>
      </c>
      <c r="B500" s="12" t="n">
        <v>45653</v>
      </c>
      <c r="C500" s="11" t="s">
        <v>57</v>
      </c>
      <c r="D500" s="11" t="s">
        <v>103</v>
      </c>
      <c r="E500" s="11" t="s">
        <v>104</v>
      </c>
      <c r="F500" s="11" t="s">
        <v>135</v>
      </c>
      <c r="G500" s="11" t="s">
        <v>77</v>
      </c>
      <c r="H500" s="11" t="s">
        <v>78</v>
      </c>
      <c r="I500" s="11" t="s">
        <v>120</v>
      </c>
      <c r="J500" s="11" t="s">
        <v>235</v>
      </c>
      <c r="K500" s="13" t="n">
        <v>73.06</v>
      </c>
      <c r="L500" s="11" t="n">
        <v>90</v>
      </c>
      <c r="M500" s="14" t="n">
        <v>0</v>
      </c>
      <c r="N500" s="13" t="n">
        <v>58.32</v>
      </c>
      <c r="O500" s="13" t="n">
        <f aca="false">K500*L500*(1-M500)</f>
        <v>6575.4</v>
      </c>
      <c r="P500" s="13" t="n">
        <f aca="false">N500*L500</f>
        <v>5248.8</v>
      </c>
      <c r="Q500" s="13" t="n">
        <f aca="false">O500-P500</f>
        <v>1326.6</v>
      </c>
      <c r="R500" s="11" t="s">
        <v>46</v>
      </c>
      <c r="S500" s="11" t="s">
        <v>47</v>
      </c>
    </row>
    <row r="501" customFormat="false" ht="15" hidden="false" customHeight="true" outlineLevel="0" collapsed="false">
      <c r="A501" s="15" t="s">
        <v>637</v>
      </c>
      <c r="B501" s="16" t="n">
        <v>45653</v>
      </c>
      <c r="C501" s="15" t="s">
        <v>49</v>
      </c>
      <c r="D501" s="15" t="s">
        <v>152</v>
      </c>
      <c r="E501" s="15" t="s">
        <v>152</v>
      </c>
      <c r="F501" s="15" t="s">
        <v>60</v>
      </c>
      <c r="G501" s="15" t="s">
        <v>77</v>
      </c>
      <c r="H501" s="15" t="s">
        <v>53</v>
      </c>
      <c r="I501" s="15" t="s">
        <v>94</v>
      </c>
      <c r="J501" s="15" t="s">
        <v>131</v>
      </c>
      <c r="K501" s="17" t="n">
        <v>34</v>
      </c>
      <c r="L501" s="15" t="n">
        <v>46</v>
      </c>
      <c r="M501" s="18" t="n">
        <v>0.05</v>
      </c>
      <c r="N501" s="17" t="n">
        <v>19.38</v>
      </c>
      <c r="O501" s="17" t="n">
        <f aca="false">K501*L501*(1-M501)</f>
        <v>1485.8</v>
      </c>
      <c r="P501" s="17" t="n">
        <f aca="false">N501*L501</f>
        <v>891.48</v>
      </c>
      <c r="Q501" s="17" t="n">
        <f aca="false">O501-P501</f>
        <v>594.32</v>
      </c>
      <c r="R501" s="15" t="s">
        <v>63</v>
      </c>
      <c r="S501" s="15" t="s">
        <v>47</v>
      </c>
    </row>
    <row r="502" customFormat="false" ht="15" hidden="false" customHeight="true" outlineLevel="0" collapsed="false">
      <c r="A502" s="11" t="s">
        <v>638</v>
      </c>
      <c r="B502" s="12" t="n">
        <v>45653</v>
      </c>
      <c r="C502" s="11" t="s">
        <v>38</v>
      </c>
      <c r="D502" s="11" t="s">
        <v>88</v>
      </c>
      <c r="E502" s="11" t="s">
        <v>89</v>
      </c>
      <c r="F502" s="11" t="s">
        <v>135</v>
      </c>
      <c r="G502" s="11" t="s">
        <v>42</v>
      </c>
      <c r="H502" s="11" t="s">
        <v>43</v>
      </c>
      <c r="I502" s="11" t="s">
        <v>61</v>
      </c>
      <c r="J502" s="11" t="s">
        <v>147</v>
      </c>
      <c r="K502" s="13" t="n">
        <v>240.51</v>
      </c>
      <c r="L502" s="11" t="n">
        <v>28</v>
      </c>
      <c r="M502" s="14" t="n">
        <v>0.05</v>
      </c>
      <c r="N502" s="13" t="n">
        <v>74.52</v>
      </c>
      <c r="O502" s="13" t="n">
        <f aca="false">K502*L502*(1-M502)</f>
        <v>6397.566</v>
      </c>
      <c r="P502" s="13" t="n">
        <f aca="false">N502*L502</f>
        <v>2086.56</v>
      </c>
      <c r="Q502" s="13" t="n">
        <f aca="false">O502-P502</f>
        <v>4311.006</v>
      </c>
      <c r="R502" s="11" t="s">
        <v>167</v>
      </c>
      <c r="S502" s="11" t="s">
        <v>47</v>
      </c>
    </row>
    <row r="503" customFormat="false" ht="15" hidden="false" customHeight="true" outlineLevel="0" collapsed="false">
      <c r="A503" s="15" t="s">
        <v>639</v>
      </c>
      <c r="B503" s="16" t="n">
        <v>45654</v>
      </c>
      <c r="C503" s="15" t="s">
        <v>65</v>
      </c>
      <c r="D503" s="15" t="s">
        <v>82</v>
      </c>
      <c r="E503" s="15" t="s">
        <v>83</v>
      </c>
      <c r="F503" s="15" t="s">
        <v>109</v>
      </c>
      <c r="G503" s="15" t="s">
        <v>52</v>
      </c>
      <c r="H503" s="15" t="s">
        <v>53</v>
      </c>
      <c r="I503" s="15" t="s">
        <v>69</v>
      </c>
      <c r="J503" s="15" t="s">
        <v>128</v>
      </c>
      <c r="K503" s="17" t="n">
        <v>16.58</v>
      </c>
      <c r="L503" s="15" t="n">
        <v>53</v>
      </c>
      <c r="M503" s="18" t="n">
        <v>0.1</v>
      </c>
      <c r="N503" s="17" t="n">
        <v>10.62</v>
      </c>
      <c r="O503" s="17" t="n">
        <f aca="false">K503*L503*(1-M503)</f>
        <v>790.866</v>
      </c>
      <c r="P503" s="17" t="n">
        <f aca="false">N503*L503</f>
        <v>562.86</v>
      </c>
      <c r="Q503" s="17" t="n">
        <f aca="false">O503-P503</f>
        <v>228.006</v>
      </c>
      <c r="R503" s="15" t="s">
        <v>46</v>
      </c>
      <c r="S503" s="15" t="s">
        <v>47</v>
      </c>
    </row>
    <row r="504" customFormat="false" ht="15" hidden="false" customHeight="true" outlineLevel="0" collapsed="false">
      <c r="A504" s="11" t="s">
        <v>640</v>
      </c>
      <c r="B504" s="12" t="n">
        <v>45654</v>
      </c>
      <c r="C504" s="11" t="s">
        <v>49</v>
      </c>
      <c r="D504" s="11" t="s">
        <v>152</v>
      </c>
      <c r="E504" s="11" t="s">
        <v>152</v>
      </c>
      <c r="F504" s="11" t="s">
        <v>41</v>
      </c>
      <c r="G504" s="11" t="s">
        <v>52</v>
      </c>
      <c r="H504" s="11" t="s">
        <v>84</v>
      </c>
      <c r="I504" s="11" t="s">
        <v>136</v>
      </c>
      <c r="J504" s="11" t="s">
        <v>137</v>
      </c>
      <c r="K504" s="13" t="n">
        <v>250.75</v>
      </c>
      <c r="L504" s="11" t="n">
        <v>25</v>
      </c>
      <c r="M504" s="14" t="n">
        <v>0</v>
      </c>
      <c r="N504" s="13" t="n">
        <v>186.24</v>
      </c>
      <c r="O504" s="13" t="n">
        <f aca="false">K504*L504*(1-M504)</f>
        <v>6268.75</v>
      </c>
      <c r="P504" s="13" t="n">
        <f aca="false">N504*L504</f>
        <v>4656</v>
      </c>
      <c r="Q504" s="13" t="n">
        <f aca="false">O504-P504</f>
        <v>1612.75</v>
      </c>
      <c r="R504" s="11" t="s">
        <v>63</v>
      </c>
      <c r="S504" s="11" t="s">
        <v>47</v>
      </c>
    </row>
    <row r="505" customFormat="false" ht="15" hidden="false" customHeight="true" outlineLevel="0" collapsed="false">
      <c r="A505" s="15" t="s">
        <v>641</v>
      </c>
      <c r="B505" s="16" t="n">
        <v>45655</v>
      </c>
      <c r="C505" s="15" t="s">
        <v>49</v>
      </c>
      <c r="D505" s="15" t="s">
        <v>50</v>
      </c>
      <c r="E505" s="15" t="s">
        <v>50</v>
      </c>
      <c r="F505" s="15" t="s">
        <v>99</v>
      </c>
      <c r="G505" s="15" t="s">
        <v>52</v>
      </c>
      <c r="H505" s="15" t="s">
        <v>84</v>
      </c>
      <c r="I505" s="15" t="s">
        <v>136</v>
      </c>
      <c r="J505" s="15" t="s">
        <v>247</v>
      </c>
      <c r="K505" s="17" t="n">
        <v>1035.32</v>
      </c>
      <c r="L505" s="15" t="n">
        <v>2</v>
      </c>
      <c r="M505" s="18" t="n">
        <v>0</v>
      </c>
      <c r="N505" s="17" t="n">
        <v>836.2</v>
      </c>
      <c r="O505" s="17" t="n">
        <f aca="false">K505*L505*(1-M505)</f>
        <v>2070.64</v>
      </c>
      <c r="P505" s="17" t="n">
        <f aca="false">N505*L505</f>
        <v>1672.4</v>
      </c>
      <c r="Q505" s="17" t="n">
        <f aca="false">O505-P505</f>
        <v>398.24</v>
      </c>
      <c r="R505" s="15" t="s">
        <v>46</v>
      </c>
      <c r="S505" s="15" t="s">
        <v>47</v>
      </c>
    </row>
    <row r="506" customFormat="false" ht="15" hidden="false" customHeight="true" outlineLevel="0" collapsed="false">
      <c r="A506" s="11" t="s">
        <v>642</v>
      </c>
      <c r="B506" s="12" t="n">
        <v>45655</v>
      </c>
      <c r="C506" s="11" t="s">
        <v>49</v>
      </c>
      <c r="D506" s="11" t="s">
        <v>152</v>
      </c>
      <c r="E506" s="11" t="s">
        <v>152</v>
      </c>
      <c r="F506" s="11" t="s">
        <v>177</v>
      </c>
      <c r="G506" s="11" t="s">
        <v>52</v>
      </c>
      <c r="H506" s="11" t="s">
        <v>53</v>
      </c>
      <c r="I506" s="11" t="s">
        <v>54</v>
      </c>
      <c r="J506" s="11" t="s">
        <v>55</v>
      </c>
      <c r="K506" s="13" t="n">
        <v>26.44</v>
      </c>
      <c r="L506" s="11" t="n">
        <v>49</v>
      </c>
      <c r="M506" s="14" t="n">
        <v>0.2</v>
      </c>
      <c r="N506" s="13" t="n">
        <v>19.02</v>
      </c>
      <c r="O506" s="13" t="n">
        <f aca="false">K506*L506*(1-M506)</f>
        <v>1036.448</v>
      </c>
      <c r="P506" s="13" t="n">
        <f aca="false">N506*L506</f>
        <v>931.98</v>
      </c>
      <c r="Q506" s="13" t="n">
        <f aca="false">O506-P506</f>
        <v>104.468</v>
      </c>
      <c r="R506" s="11" t="s">
        <v>63</v>
      </c>
      <c r="S506" s="11" t="s">
        <v>47</v>
      </c>
    </row>
    <row r="507" customFormat="false" ht="15" hidden="false" customHeight="true" outlineLevel="0" collapsed="false">
      <c r="A507" s="15" t="s">
        <v>643</v>
      </c>
      <c r="B507" s="16" t="n">
        <v>45655</v>
      </c>
      <c r="C507" s="15" t="s">
        <v>65</v>
      </c>
      <c r="D507" s="15" t="s">
        <v>116</v>
      </c>
      <c r="E507" s="15" t="s">
        <v>117</v>
      </c>
      <c r="F507" s="15" t="s">
        <v>68</v>
      </c>
      <c r="G507" s="15" t="s">
        <v>42</v>
      </c>
      <c r="H507" s="15" t="s">
        <v>43</v>
      </c>
      <c r="I507" s="15" t="s">
        <v>61</v>
      </c>
      <c r="J507" s="15" t="s">
        <v>147</v>
      </c>
      <c r="K507" s="17" t="n">
        <v>399.15</v>
      </c>
      <c r="L507" s="15" t="n">
        <v>1</v>
      </c>
      <c r="M507" s="18" t="n">
        <v>0</v>
      </c>
      <c r="N507" s="17" t="n">
        <v>161.68</v>
      </c>
      <c r="O507" s="17" t="n">
        <f aca="false">K507*L507*(1-M507)</f>
        <v>399.15</v>
      </c>
      <c r="P507" s="17" t="n">
        <f aca="false">N507*L507</f>
        <v>161.68</v>
      </c>
      <c r="Q507" s="17" t="n">
        <f aca="false">O507-P507</f>
        <v>237.47</v>
      </c>
      <c r="R507" s="15" t="s">
        <v>46</v>
      </c>
      <c r="S507" s="15" t="s">
        <v>47</v>
      </c>
    </row>
    <row r="508" customFormat="false" ht="15" hidden="false" customHeight="true" outlineLevel="0" collapsed="false">
      <c r="A508" s="11" t="s">
        <v>644</v>
      </c>
      <c r="B508" s="12" t="n">
        <v>45656</v>
      </c>
      <c r="C508" s="11" t="s">
        <v>49</v>
      </c>
      <c r="D508" s="11" t="s">
        <v>97</v>
      </c>
      <c r="E508" s="11" t="s">
        <v>112</v>
      </c>
      <c r="F508" s="11" t="s">
        <v>118</v>
      </c>
      <c r="G508" s="11" t="s">
        <v>77</v>
      </c>
      <c r="H508" s="11" t="s">
        <v>78</v>
      </c>
      <c r="I508" s="11" t="s">
        <v>154</v>
      </c>
      <c r="J508" s="11" t="s">
        <v>186</v>
      </c>
      <c r="K508" s="13" t="n">
        <v>993.44</v>
      </c>
      <c r="L508" s="11" t="n">
        <v>3</v>
      </c>
      <c r="M508" s="14" t="n">
        <v>0</v>
      </c>
      <c r="N508" s="13" t="n">
        <v>805.08</v>
      </c>
      <c r="O508" s="13" t="n">
        <f aca="false">K508*L508*(1-M508)</f>
        <v>2980.32</v>
      </c>
      <c r="P508" s="13" t="n">
        <f aca="false">N508*L508</f>
        <v>2415.24</v>
      </c>
      <c r="Q508" s="13" t="n">
        <f aca="false">O508-P508</f>
        <v>565.08</v>
      </c>
      <c r="R508" s="11" t="s">
        <v>114</v>
      </c>
      <c r="S508" s="11" t="s">
        <v>47</v>
      </c>
    </row>
    <row r="509" customFormat="false" ht="15" hidden="false" customHeight="true" outlineLevel="0" collapsed="false">
      <c r="A509" s="15" t="s">
        <v>645</v>
      </c>
      <c r="B509" s="16" t="n">
        <v>45656</v>
      </c>
      <c r="C509" s="15" t="s">
        <v>57</v>
      </c>
      <c r="D509" s="15" t="s">
        <v>103</v>
      </c>
      <c r="E509" s="15" t="s">
        <v>104</v>
      </c>
      <c r="F509" s="15" t="s">
        <v>177</v>
      </c>
      <c r="G509" s="15" t="s">
        <v>52</v>
      </c>
      <c r="H509" s="15" t="s">
        <v>43</v>
      </c>
      <c r="I509" s="15" t="s">
        <v>61</v>
      </c>
      <c r="J509" s="15" t="s">
        <v>147</v>
      </c>
      <c r="K509" s="17" t="n">
        <v>202.3</v>
      </c>
      <c r="L509" s="15" t="n">
        <v>45</v>
      </c>
      <c r="M509" s="18" t="n">
        <v>0.05</v>
      </c>
      <c r="N509" s="17" t="n">
        <v>75.44</v>
      </c>
      <c r="O509" s="17" t="n">
        <f aca="false">K509*L509*(1-M509)</f>
        <v>8648.325</v>
      </c>
      <c r="P509" s="17" t="n">
        <f aca="false">N509*L509</f>
        <v>3394.8</v>
      </c>
      <c r="Q509" s="17" t="n">
        <f aca="false">O509-P509</f>
        <v>5253.525</v>
      </c>
      <c r="R509" s="15" t="s">
        <v>114</v>
      </c>
      <c r="S509" s="15" t="s">
        <v>47</v>
      </c>
    </row>
    <row r="510" customFormat="false" ht="15" hidden="false" customHeight="true" outlineLevel="0" collapsed="false">
      <c r="A510" s="11" t="s">
        <v>646</v>
      </c>
      <c r="B510" s="12" t="n">
        <v>45656</v>
      </c>
      <c r="C510" s="11" t="s">
        <v>74</v>
      </c>
      <c r="D510" s="11" t="s">
        <v>171</v>
      </c>
      <c r="E510" s="11" t="s">
        <v>172</v>
      </c>
      <c r="F510" s="11" t="s">
        <v>41</v>
      </c>
      <c r="G510" s="11" t="s">
        <v>130</v>
      </c>
      <c r="H510" s="11" t="s">
        <v>53</v>
      </c>
      <c r="I510" s="11" t="s">
        <v>54</v>
      </c>
      <c r="J510" s="11" t="s">
        <v>55</v>
      </c>
      <c r="K510" s="13" t="n">
        <v>22.45</v>
      </c>
      <c r="L510" s="11" t="n">
        <v>107</v>
      </c>
      <c r="M510" s="14" t="n">
        <v>0.15</v>
      </c>
      <c r="N510" s="13" t="n">
        <v>13.83</v>
      </c>
      <c r="O510" s="13" t="n">
        <f aca="false">K510*L510*(1-M510)</f>
        <v>2041.8275</v>
      </c>
      <c r="P510" s="13" t="n">
        <f aca="false">N510*L510</f>
        <v>1479.81</v>
      </c>
      <c r="Q510" s="13" t="n">
        <f aca="false">O510-P510</f>
        <v>562.0175</v>
      </c>
      <c r="R510" s="11" t="s">
        <v>63</v>
      </c>
      <c r="S510" s="11" t="s">
        <v>47</v>
      </c>
    </row>
    <row r="511" customFormat="false" ht="15" hidden="false" customHeight="true" outlineLevel="0" collapsed="false">
      <c r="A511" s="15" t="s">
        <v>647</v>
      </c>
      <c r="B511" s="16" t="n">
        <v>45658</v>
      </c>
      <c r="C511" s="15" t="s">
        <v>49</v>
      </c>
      <c r="D511" s="15" t="s">
        <v>97</v>
      </c>
      <c r="E511" s="15" t="s">
        <v>108</v>
      </c>
      <c r="F511" s="15" t="s">
        <v>123</v>
      </c>
      <c r="G511" s="15" t="s">
        <v>126</v>
      </c>
      <c r="H511" s="15" t="s">
        <v>43</v>
      </c>
      <c r="I511" s="15" t="s">
        <v>61</v>
      </c>
      <c r="J511" s="15" t="s">
        <v>147</v>
      </c>
      <c r="K511" s="17" t="n">
        <v>402.18</v>
      </c>
      <c r="L511" s="15" t="n">
        <v>16</v>
      </c>
      <c r="M511" s="18" t="n">
        <v>0.15</v>
      </c>
      <c r="N511" s="17" t="n">
        <v>183.47</v>
      </c>
      <c r="O511" s="17" t="n">
        <f aca="false">K511*L511*(1-M511)</f>
        <v>5469.648</v>
      </c>
      <c r="P511" s="17" t="n">
        <f aca="false">N511*L511</f>
        <v>2935.52</v>
      </c>
      <c r="Q511" s="17" t="n">
        <f aca="false">O511-P511</f>
        <v>2534.128</v>
      </c>
      <c r="R511" s="15" t="s">
        <v>167</v>
      </c>
      <c r="S511" s="15" t="s">
        <v>72</v>
      </c>
    </row>
    <row r="512" customFormat="false" ht="15" hidden="false" customHeight="true" outlineLevel="0" collapsed="false">
      <c r="A512" s="11" t="s">
        <v>648</v>
      </c>
      <c r="B512" s="12" t="n">
        <v>45658</v>
      </c>
      <c r="C512" s="11" t="s">
        <v>57</v>
      </c>
      <c r="D512" s="11" t="s">
        <v>103</v>
      </c>
      <c r="E512" s="11" t="s">
        <v>104</v>
      </c>
      <c r="F512" s="11" t="s">
        <v>99</v>
      </c>
      <c r="G512" s="11" t="s">
        <v>52</v>
      </c>
      <c r="H512" s="11" t="s">
        <v>53</v>
      </c>
      <c r="I512" s="11" t="s">
        <v>69</v>
      </c>
      <c r="J512" s="11" t="s">
        <v>70</v>
      </c>
      <c r="K512" s="13" t="n">
        <v>22.11</v>
      </c>
      <c r="L512" s="11" t="n">
        <v>13</v>
      </c>
      <c r="M512" s="14" t="n">
        <v>0.1</v>
      </c>
      <c r="N512" s="13" t="n">
        <v>15.51</v>
      </c>
      <c r="O512" s="13" t="n">
        <f aca="false">K512*L512*(1-M512)</f>
        <v>258.687</v>
      </c>
      <c r="P512" s="13" t="n">
        <f aca="false">N512*L512</f>
        <v>201.63</v>
      </c>
      <c r="Q512" s="13" t="n">
        <f aca="false">O512-P512</f>
        <v>57.057</v>
      </c>
      <c r="R512" s="11" t="s">
        <v>114</v>
      </c>
      <c r="S512" s="11" t="s">
        <v>47</v>
      </c>
    </row>
    <row r="513" customFormat="false" ht="15" hidden="false" customHeight="true" outlineLevel="0" collapsed="false">
      <c r="A513" s="15" t="s">
        <v>649</v>
      </c>
      <c r="B513" s="16" t="n">
        <v>45659</v>
      </c>
      <c r="C513" s="15" t="s">
        <v>38</v>
      </c>
      <c r="D513" s="15" t="s">
        <v>92</v>
      </c>
      <c r="E513" s="15" t="s">
        <v>93</v>
      </c>
      <c r="F513" s="15" t="s">
        <v>118</v>
      </c>
      <c r="G513" s="15" t="s">
        <v>42</v>
      </c>
      <c r="H513" s="15" t="s">
        <v>53</v>
      </c>
      <c r="I513" s="15" t="s">
        <v>69</v>
      </c>
      <c r="J513" s="15" t="s">
        <v>128</v>
      </c>
      <c r="K513" s="17" t="n">
        <v>14.55</v>
      </c>
      <c r="L513" s="15" t="n">
        <v>66</v>
      </c>
      <c r="M513" s="18" t="n">
        <v>0</v>
      </c>
      <c r="N513" s="17" t="n">
        <v>10.44</v>
      </c>
      <c r="O513" s="17" t="n">
        <f aca="false">K513*L513*(1-M513)</f>
        <v>960.3</v>
      </c>
      <c r="P513" s="17" t="n">
        <f aca="false">N513*L513</f>
        <v>689.04</v>
      </c>
      <c r="Q513" s="17" t="n">
        <f aca="false">O513-P513</f>
        <v>271.26</v>
      </c>
      <c r="R513" s="15" t="s">
        <v>46</v>
      </c>
      <c r="S513" s="15" t="s">
        <v>72</v>
      </c>
    </row>
    <row r="514" customFormat="false" ht="15" hidden="false" customHeight="true" outlineLevel="0" collapsed="false">
      <c r="A514" s="11" t="s">
        <v>650</v>
      </c>
      <c r="B514" s="12" t="n">
        <v>45659</v>
      </c>
      <c r="C514" s="11" t="s">
        <v>49</v>
      </c>
      <c r="D514" s="11" t="s">
        <v>97</v>
      </c>
      <c r="E514" s="11" t="s">
        <v>108</v>
      </c>
      <c r="F514" s="11" t="s">
        <v>135</v>
      </c>
      <c r="G514" s="11" t="s">
        <v>42</v>
      </c>
      <c r="H514" s="11" t="s">
        <v>53</v>
      </c>
      <c r="I514" s="11" t="s">
        <v>54</v>
      </c>
      <c r="J514" s="11" t="s">
        <v>113</v>
      </c>
      <c r="K514" s="13" t="n">
        <v>24.24</v>
      </c>
      <c r="L514" s="11" t="n">
        <v>111</v>
      </c>
      <c r="M514" s="14" t="n">
        <v>0</v>
      </c>
      <c r="N514" s="13" t="n">
        <v>15.91</v>
      </c>
      <c r="O514" s="13" t="n">
        <f aca="false">K514*L514*(1-M514)</f>
        <v>2690.64</v>
      </c>
      <c r="P514" s="13" t="n">
        <f aca="false">N514*L514</f>
        <v>1766.01</v>
      </c>
      <c r="Q514" s="13" t="n">
        <f aca="false">O514-P514</f>
        <v>924.63</v>
      </c>
      <c r="R514" s="11" t="s">
        <v>114</v>
      </c>
      <c r="S514" s="11" t="s">
        <v>47</v>
      </c>
    </row>
    <row r="515" customFormat="false" ht="15" hidden="false" customHeight="true" outlineLevel="0" collapsed="false">
      <c r="A515" s="15" t="s">
        <v>651</v>
      </c>
      <c r="B515" s="16" t="n">
        <v>45659</v>
      </c>
      <c r="C515" s="15" t="s">
        <v>57</v>
      </c>
      <c r="D515" s="15" t="s">
        <v>103</v>
      </c>
      <c r="E515" s="15" t="s">
        <v>104</v>
      </c>
      <c r="F515" s="15" t="s">
        <v>135</v>
      </c>
      <c r="G515" s="15" t="s">
        <v>42</v>
      </c>
      <c r="H515" s="15" t="s">
        <v>43</v>
      </c>
      <c r="I515" s="15" t="s">
        <v>61</v>
      </c>
      <c r="J515" s="15" t="s">
        <v>62</v>
      </c>
      <c r="K515" s="17" t="n">
        <v>406.39</v>
      </c>
      <c r="L515" s="15" t="n">
        <v>28</v>
      </c>
      <c r="M515" s="18" t="n">
        <v>0</v>
      </c>
      <c r="N515" s="17" t="n">
        <v>149.39</v>
      </c>
      <c r="O515" s="17" t="n">
        <f aca="false">K515*L515*(1-M515)</f>
        <v>11378.92</v>
      </c>
      <c r="P515" s="17" t="n">
        <f aca="false">N515*L515</f>
        <v>4182.92</v>
      </c>
      <c r="Q515" s="17" t="n">
        <f aca="false">O515-P515</f>
        <v>7196</v>
      </c>
      <c r="R515" s="15" t="s">
        <v>46</v>
      </c>
      <c r="S515" s="15" t="s">
        <v>47</v>
      </c>
    </row>
    <row r="516" customFormat="false" ht="15" hidden="false" customHeight="true" outlineLevel="0" collapsed="false">
      <c r="A516" s="11" t="s">
        <v>652</v>
      </c>
      <c r="B516" s="12" t="n">
        <v>45660</v>
      </c>
      <c r="C516" s="11" t="s">
        <v>57</v>
      </c>
      <c r="D516" s="11" t="s">
        <v>162</v>
      </c>
      <c r="E516" s="11" t="s">
        <v>163</v>
      </c>
      <c r="F516" s="11" t="s">
        <v>123</v>
      </c>
      <c r="G516" s="11" t="s">
        <v>52</v>
      </c>
      <c r="H516" s="11" t="s">
        <v>84</v>
      </c>
      <c r="I516" s="11" t="s">
        <v>85</v>
      </c>
      <c r="J516" s="11" t="s">
        <v>90</v>
      </c>
      <c r="K516" s="13" t="n">
        <v>449.63</v>
      </c>
      <c r="L516" s="11" t="n">
        <v>17</v>
      </c>
      <c r="M516" s="14" t="n">
        <v>0</v>
      </c>
      <c r="N516" s="13" t="n">
        <v>353.35</v>
      </c>
      <c r="O516" s="13" t="n">
        <f aca="false">K516*L516*(1-M516)</f>
        <v>7643.71</v>
      </c>
      <c r="P516" s="13" t="n">
        <f aca="false">N516*L516</f>
        <v>6006.95</v>
      </c>
      <c r="Q516" s="13" t="n">
        <f aca="false">O516-P516</f>
        <v>1636.76</v>
      </c>
      <c r="R516" s="11" t="s">
        <v>46</v>
      </c>
      <c r="S516" s="11" t="s">
        <v>47</v>
      </c>
    </row>
    <row r="517" customFormat="false" ht="15" hidden="false" customHeight="true" outlineLevel="0" collapsed="false">
      <c r="A517" s="15" t="s">
        <v>653</v>
      </c>
      <c r="B517" s="16" t="n">
        <v>45660</v>
      </c>
      <c r="C517" s="15" t="s">
        <v>38</v>
      </c>
      <c r="D517" s="15" t="s">
        <v>92</v>
      </c>
      <c r="E517" s="15" t="s">
        <v>93</v>
      </c>
      <c r="F517" s="15" t="s">
        <v>60</v>
      </c>
      <c r="G517" s="15" t="s">
        <v>42</v>
      </c>
      <c r="H517" s="15" t="s">
        <v>84</v>
      </c>
      <c r="I517" s="15" t="s">
        <v>100</v>
      </c>
      <c r="J517" s="15" t="s">
        <v>101</v>
      </c>
      <c r="K517" s="17" t="n">
        <v>1229.59</v>
      </c>
      <c r="L517" s="15" t="n">
        <v>10</v>
      </c>
      <c r="M517" s="18" t="n">
        <v>0</v>
      </c>
      <c r="N517" s="17" t="n">
        <v>940.95</v>
      </c>
      <c r="O517" s="17" t="n">
        <f aca="false">K517*L517*(1-M517)</f>
        <v>12295.9</v>
      </c>
      <c r="P517" s="17" t="n">
        <f aca="false">N517*L517</f>
        <v>9409.5</v>
      </c>
      <c r="Q517" s="17" t="n">
        <f aca="false">O517-P517</f>
        <v>2886.4</v>
      </c>
      <c r="R517" s="15" t="s">
        <v>167</v>
      </c>
      <c r="S517" s="15" t="s">
        <v>187</v>
      </c>
    </row>
    <row r="518" customFormat="false" ht="15" hidden="false" customHeight="true" outlineLevel="0" collapsed="false">
      <c r="A518" s="11" t="s">
        <v>654</v>
      </c>
      <c r="B518" s="12" t="n">
        <v>45660</v>
      </c>
      <c r="C518" s="11" t="s">
        <v>49</v>
      </c>
      <c r="D518" s="11" t="s">
        <v>152</v>
      </c>
      <c r="E518" s="11" t="s">
        <v>152</v>
      </c>
      <c r="F518" s="11" t="s">
        <v>68</v>
      </c>
      <c r="G518" s="11" t="s">
        <v>130</v>
      </c>
      <c r="H518" s="11" t="s">
        <v>43</v>
      </c>
      <c r="I518" s="11" t="s">
        <v>61</v>
      </c>
      <c r="J518" s="11" t="s">
        <v>147</v>
      </c>
      <c r="K518" s="13" t="n">
        <v>243.67</v>
      </c>
      <c r="L518" s="11" t="n">
        <v>44</v>
      </c>
      <c r="M518" s="14" t="n">
        <v>0</v>
      </c>
      <c r="N518" s="13" t="n">
        <v>86.01</v>
      </c>
      <c r="O518" s="13" t="n">
        <f aca="false">K518*L518*(1-M518)</f>
        <v>10721.48</v>
      </c>
      <c r="P518" s="13" t="n">
        <f aca="false">N518*L518</f>
        <v>3784.44</v>
      </c>
      <c r="Q518" s="13" t="n">
        <f aca="false">O518-P518</f>
        <v>6937.04</v>
      </c>
      <c r="R518" s="11" t="s">
        <v>63</v>
      </c>
      <c r="S518" s="11" t="s">
        <v>187</v>
      </c>
    </row>
    <row r="519" customFormat="false" ht="15" hidden="false" customHeight="true" outlineLevel="0" collapsed="false">
      <c r="A519" s="15" t="s">
        <v>655</v>
      </c>
      <c r="B519" s="16" t="n">
        <v>45662</v>
      </c>
      <c r="C519" s="15" t="s">
        <v>57</v>
      </c>
      <c r="D519" s="15" t="s">
        <v>103</v>
      </c>
      <c r="E519" s="15" t="s">
        <v>104</v>
      </c>
      <c r="F519" s="15" t="s">
        <v>51</v>
      </c>
      <c r="G519" s="15" t="s">
        <v>42</v>
      </c>
      <c r="H519" s="15" t="s">
        <v>84</v>
      </c>
      <c r="I519" s="15" t="s">
        <v>85</v>
      </c>
      <c r="J519" s="15" t="s">
        <v>86</v>
      </c>
      <c r="K519" s="17" t="n">
        <v>494.05</v>
      </c>
      <c r="L519" s="15" t="n">
        <v>18</v>
      </c>
      <c r="M519" s="18" t="n">
        <v>0.1</v>
      </c>
      <c r="N519" s="17" t="n">
        <v>368.8</v>
      </c>
      <c r="O519" s="17" t="n">
        <f aca="false">K519*L519*(1-M519)</f>
        <v>8003.61</v>
      </c>
      <c r="P519" s="17" t="n">
        <f aca="false">N519*L519</f>
        <v>6638.4</v>
      </c>
      <c r="Q519" s="17" t="n">
        <f aca="false">O519-P519</f>
        <v>1365.21</v>
      </c>
      <c r="R519" s="15" t="s">
        <v>167</v>
      </c>
      <c r="S519" s="15" t="s">
        <v>47</v>
      </c>
    </row>
    <row r="520" customFormat="false" ht="15" hidden="false" customHeight="true" outlineLevel="0" collapsed="false">
      <c r="A520" s="11" t="s">
        <v>656</v>
      </c>
      <c r="B520" s="12" t="n">
        <v>45662</v>
      </c>
      <c r="C520" s="11" t="s">
        <v>49</v>
      </c>
      <c r="D520" s="11" t="s">
        <v>97</v>
      </c>
      <c r="E520" s="11" t="s">
        <v>108</v>
      </c>
      <c r="F520" s="11" t="s">
        <v>135</v>
      </c>
      <c r="G520" s="11" t="s">
        <v>42</v>
      </c>
      <c r="H520" s="11" t="s">
        <v>43</v>
      </c>
      <c r="I520" s="11" t="s">
        <v>61</v>
      </c>
      <c r="J520" s="11" t="s">
        <v>62</v>
      </c>
      <c r="K520" s="13" t="n">
        <v>280.72</v>
      </c>
      <c r="L520" s="11" t="n">
        <v>36</v>
      </c>
      <c r="M520" s="14" t="n">
        <v>0.05</v>
      </c>
      <c r="N520" s="13" t="n">
        <v>125.3</v>
      </c>
      <c r="O520" s="13" t="n">
        <f aca="false">K520*L520*(1-M520)</f>
        <v>9600.624</v>
      </c>
      <c r="P520" s="13" t="n">
        <f aca="false">N520*L520</f>
        <v>4510.8</v>
      </c>
      <c r="Q520" s="13" t="n">
        <f aca="false">O520-P520</f>
        <v>5089.824</v>
      </c>
      <c r="R520" s="11" t="s">
        <v>114</v>
      </c>
      <c r="S520" s="11" t="s">
        <v>47</v>
      </c>
    </row>
    <row r="521" customFormat="false" ht="15" hidden="false" customHeight="true" outlineLevel="0" collapsed="false">
      <c r="A521" s="15" t="s">
        <v>657</v>
      </c>
      <c r="B521" s="16" t="n">
        <v>45662</v>
      </c>
      <c r="C521" s="15" t="s">
        <v>57</v>
      </c>
      <c r="D521" s="15" t="s">
        <v>103</v>
      </c>
      <c r="E521" s="15" t="s">
        <v>104</v>
      </c>
      <c r="F521" s="15" t="s">
        <v>118</v>
      </c>
      <c r="G521" s="15" t="s">
        <v>77</v>
      </c>
      <c r="H521" s="15" t="s">
        <v>43</v>
      </c>
      <c r="I521" s="15" t="s">
        <v>44</v>
      </c>
      <c r="J521" s="15" t="s">
        <v>106</v>
      </c>
      <c r="K521" s="17" t="n">
        <v>399.98</v>
      </c>
      <c r="L521" s="15" t="n">
        <v>3</v>
      </c>
      <c r="M521" s="18" t="n">
        <v>0</v>
      </c>
      <c r="N521" s="17" t="n">
        <v>141.6</v>
      </c>
      <c r="O521" s="17" t="n">
        <f aca="false">K521*L521*(1-M521)</f>
        <v>1199.94</v>
      </c>
      <c r="P521" s="17" t="n">
        <f aca="false">N521*L521</f>
        <v>424.8</v>
      </c>
      <c r="Q521" s="17" t="n">
        <f aca="false">O521-P521</f>
        <v>775.14</v>
      </c>
      <c r="R521" s="15" t="s">
        <v>46</v>
      </c>
      <c r="S521" s="15" t="s">
        <v>47</v>
      </c>
    </row>
    <row r="522" customFormat="false" ht="15" hidden="false" customHeight="true" outlineLevel="0" collapsed="false">
      <c r="A522" s="11" t="s">
        <v>658</v>
      </c>
      <c r="B522" s="12" t="n">
        <v>45664</v>
      </c>
      <c r="C522" s="11" t="s">
        <v>49</v>
      </c>
      <c r="D522" s="11" t="s">
        <v>97</v>
      </c>
      <c r="E522" s="11" t="s">
        <v>108</v>
      </c>
      <c r="F522" s="11" t="s">
        <v>177</v>
      </c>
      <c r="G522" s="11" t="s">
        <v>126</v>
      </c>
      <c r="H522" s="11" t="s">
        <v>84</v>
      </c>
      <c r="I522" s="11" t="s">
        <v>85</v>
      </c>
      <c r="J522" s="11" t="s">
        <v>86</v>
      </c>
      <c r="K522" s="13" t="n">
        <v>345.32</v>
      </c>
      <c r="L522" s="11" t="n">
        <v>8</v>
      </c>
      <c r="M522" s="14" t="n">
        <v>0</v>
      </c>
      <c r="N522" s="13" t="n">
        <v>266.6</v>
      </c>
      <c r="O522" s="13" t="n">
        <f aca="false">K522*L522*(1-M522)</f>
        <v>2762.56</v>
      </c>
      <c r="P522" s="13" t="n">
        <f aca="false">N522*L522</f>
        <v>2132.8</v>
      </c>
      <c r="Q522" s="13" t="n">
        <f aca="false">O522-P522</f>
        <v>629.76</v>
      </c>
      <c r="R522" s="11" t="s">
        <v>46</v>
      </c>
      <c r="S522" s="11" t="s">
        <v>47</v>
      </c>
    </row>
    <row r="523" customFormat="false" ht="15" hidden="false" customHeight="true" outlineLevel="0" collapsed="false">
      <c r="A523" s="15" t="s">
        <v>659</v>
      </c>
      <c r="B523" s="16" t="n">
        <v>45664</v>
      </c>
      <c r="C523" s="15" t="s">
        <v>57</v>
      </c>
      <c r="D523" s="15" t="s">
        <v>58</v>
      </c>
      <c r="E523" s="15" t="s">
        <v>59</v>
      </c>
      <c r="F523" s="15" t="s">
        <v>51</v>
      </c>
      <c r="G523" s="15" t="s">
        <v>52</v>
      </c>
      <c r="H523" s="15" t="s">
        <v>53</v>
      </c>
      <c r="I523" s="15" t="s">
        <v>54</v>
      </c>
      <c r="J523" s="15" t="s">
        <v>55</v>
      </c>
      <c r="K523" s="17" t="n">
        <v>18.44</v>
      </c>
      <c r="L523" s="15" t="n">
        <v>158</v>
      </c>
      <c r="M523" s="18" t="n">
        <v>0.15</v>
      </c>
      <c r="N523" s="17" t="n">
        <v>13.1</v>
      </c>
      <c r="O523" s="17" t="n">
        <f aca="false">K523*L523*(1-M523)</f>
        <v>2476.492</v>
      </c>
      <c r="P523" s="17" t="n">
        <f aca="false">N523*L523</f>
        <v>2069.8</v>
      </c>
      <c r="Q523" s="17" t="n">
        <f aca="false">O523-P523</f>
        <v>406.692</v>
      </c>
      <c r="R523" s="15" t="s">
        <v>46</v>
      </c>
      <c r="S523" s="15" t="s">
        <v>72</v>
      </c>
    </row>
    <row r="524" customFormat="false" ht="15" hidden="false" customHeight="true" outlineLevel="0" collapsed="false">
      <c r="A524" s="11" t="s">
        <v>660</v>
      </c>
      <c r="B524" s="12" t="n">
        <v>45664</v>
      </c>
      <c r="C524" s="11" t="s">
        <v>74</v>
      </c>
      <c r="D524" s="11" t="s">
        <v>75</v>
      </c>
      <c r="E524" s="11" t="s">
        <v>76</v>
      </c>
      <c r="F524" s="11" t="s">
        <v>109</v>
      </c>
      <c r="G524" s="11" t="s">
        <v>126</v>
      </c>
      <c r="H524" s="11" t="s">
        <v>78</v>
      </c>
      <c r="I524" s="11" t="s">
        <v>154</v>
      </c>
      <c r="J524" s="11" t="s">
        <v>186</v>
      </c>
      <c r="K524" s="13" t="n">
        <v>999.84</v>
      </c>
      <c r="L524" s="11" t="n">
        <v>12</v>
      </c>
      <c r="M524" s="14" t="n">
        <v>0</v>
      </c>
      <c r="N524" s="13" t="n">
        <v>807.06</v>
      </c>
      <c r="O524" s="13" t="n">
        <f aca="false">K524*L524*(1-M524)</f>
        <v>11998.08</v>
      </c>
      <c r="P524" s="13" t="n">
        <f aca="false">N524*L524</f>
        <v>9684.72</v>
      </c>
      <c r="Q524" s="13" t="n">
        <f aca="false">O524-P524</f>
        <v>2313.36</v>
      </c>
      <c r="R524" s="11" t="s">
        <v>71</v>
      </c>
      <c r="S524" s="11" t="s">
        <v>47</v>
      </c>
    </row>
    <row r="525" customFormat="false" ht="15" hidden="false" customHeight="true" outlineLevel="0" collapsed="false">
      <c r="A525" s="15" t="s">
        <v>661</v>
      </c>
      <c r="B525" s="16" t="n">
        <v>45666</v>
      </c>
      <c r="C525" s="15" t="s">
        <v>49</v>
      </c>
      <c r="D525" s="15" t="s">
        <v>152</v>
      </c>
      <c r="E525" s="15" t="s">
        <v>152</v>
      </c>
      <c r="F525" s="15" t="s">
        <v>68</v>
      </c>
      <c r="G525" s="15" t="s">
        <v>77</v>
      </c>
      <c r="H525" s="15" t="s">
        <v>53</v>
      </c>
      <c r="I525" s="15" t="s">
        <v>69</v>
      </c>
      <c r="J525" s="15" t="s">
        <v>128</v>
      </c>
      <c r="K525" s="17" t="n">
        <v>16.18</v>
      </c>
      <c r="L525" s="15" t="n">
        <v>54</v>
      </c>
      <c r="M525" s="18" t="n">
        <v>0</v>
      </c>
      <c r="N525" s="17" t="n">
        <v>11.14</v>
      </c>
      <c r="O525" s="17" t="n">
        <f aca="false">K525*L525*(1-M525)</f>
        <v>873.72</v>
      </c>
      <c r="P525" s="17" t="n">
        <f aca="false">N525*L525</f>
        <v>601.56</v>
      </c>
      <c r="Q525" s="17" t="n">
        <f aca="false">O525-P525</f>
        <v>272.16</v>
      </c>
      <c r="R525" s="15" t="s">
        <v>46</v>
      </c>
      <c r="S525" s="15" t="s">
        <v>47</v>
      </c>
    </row>
    <row r="526" customFormat="false" ht="15" hidden="false" customHeight="true" outlineLevel="0" collapsed="false">
      <c r="A526" s="11" t="s">
        <v>662</v>
      </c>
      <c r="B526" s="12" t="n">
        <v>45667</v>
      </c>
      <c r="C526" s="11" t="s">
        <v>74</v>
      </c>
      <c r="D526" s="11" t="s">
        <v>75</v>
      </c>
      <c r="E526" s="11" t="s">
        <v>76</v>
      </c>
      <c r="F526" s="11" t="s">
        <v>109</v>
      </c>
      <c r="G526" s="11" t="s">
        <v>126</v>
      </c>
      <c r="H526" s="11" t="s">
        <v>84</v>
      </c>
      <c r="I526" s="11" t="s">
        <v>136</v>
      </c>
      <c r="J526" s="11" t="s">
        <v>247</v>
      </c>
      <c r="K526" s="13" t="n">
        <v>1022.28</v>
      </c>
      <c r="L526" s="11" t="n">
        <v>17</v>
      </c>
      <c r="M526" s="14" t="n">
        <v>0</v>
      </c>
      <c r="N526" s="13" t="n">
        <v>763.3</v>
      </c>
      <c r="O526" s="13" t="n">
        <f aca="false">K526*L526*(1-M526)</f>
        <v>17378.76</v>
      </c>
      <c r="P526" s="13" t="n">
        <f aca="false">N526*L526</f>
        <v>12976.1</v>
      </c>
      <c r="Q526" s="13" t="n">
        <f aca="false">O526-P526</f>
        <v>4402.66</v>
      </c>
      <c r="R526" s="11" t="s">
        <v>46</v>
      </c>
      <c r="S526" s="11" t="s">
        <v>47</v>
      </c>
    </row>
    <row r="527" customFormat="false" ht="15" hidden="false" customHeight="true" outlineLevel="0" collapsed="false">
      <c r="A527" s="15" t="s">
        <v>663</v>
      </c>
      <c r="B527" s="16" t="n">
        <v>45668</v>
      </c>
      <c r="C527" s="15" t="s">
        <v>49</v>
      </c>
      <c r="D527" s="15" t="s">
        <v>97</v>
      </c>
      <c r="E527" s="15" t="s">
        <v>108</v>
      </c>
      <c r="F527" s="15" t="s">
        <v>135</v>
      </c>
      <c r="G527" s="15" t="s">
        <v>52</v>
      </c>
      <c r="H527" s="15" t="s">
        <v>53</v>
      </c>
      <c r="I527" s="15" t="s">
        <v>69</v>
      </c>
      <c r="J527" s="15" t="s">
        <v>70</v>
      </c>
      <c r="K527" s="17" t="n">
        <v>30.97</v>
      </c>
      <c r="L527" s="15" t="n">
        <v>145</v>
      </c>
      <c r="M527" s="18" t="n">
        <v>0.05</v>
      </c>
      <c r="N527" s="17" t="n">
        <v>22.88</v>
      </c>
      <c r="O527" s="17" t="n">
        <f aca="false">K527*L527*(1-M527)</f>
        <v>4266.1175</v>
      </c>
      <c r="P527" s="17" t="n">
        <f aca="false">N527*L527</f>
        <v>3317.6</v>
      </c>
      <c r="Q527" s="17" t="n">
        <f aca="false">O527-P527</f>
        <v>948.5175</v>
      </c>
      <c r="R527" s="15" t="s">
        <v>46</v>
      </c>
      <c r="S527" s="15" t="s">
        <v>47</v>
      </c>
    </row>
    <row r="528" customFormat="false" ht="15" hidden="false" customHeight="true" outlineLevel="0" collapsed="false">
      <c r="A528" s="11" t="s">
        <v>664</v>
      </c>
      <c r="B528" s="12" t="n">
        <v>45668</v>
      </c>
      <c r="C528" s="11" t="s">
        <v>65</v>
      </c>
      <c r="D528" s="11" t="s">
        <v>149</v>
      </c>
      <c r="E528" s="11" t="s">
        <v>150</v>
      </c>
      <c r="F528" s="11" t="s">
        <v>60</v>
      </c>
      <c r="G528" s="11" t="s">
        <v>77</v>
      </c>
      <c r="H528" s="11" t="s">
        <v>53</v>
      </c>
      <c r="I528" s="11" t="s">
        <v>54</v>
      </c>
      <c r="J528" s="11" t="s">
        <v>55</v>
      </c>
      <c r="K528" s="13" t="n">
        <v>21.33</v>
      </c>
      <c r="L528" s="11" t="n">
        <v>150</v>
      </c>
      <c r="M528" s="14" t="n">
        <v>0.1</v>
      </c>
      <c r="N528" s="13" t="n">
        <v>14.06</v>
      </c>
      <c r="O528" s="13" t="n">
        <f aca="false">K528*L528*(1-M528)</f>
        <v>2879.55</v>
      </c>
      <c r="P528" s="13" t="n">
        <f aca="false">N528*L528</f>
        <v>2109</v>
      </c>
      <c r="Q528" s="13" t="n">
        <f aca="false">O528-P528</f>
        <v>770.55</v>
      </c>
      <c r="R528" s="11" t="s">
        <v>46</v>
      </c>
      <c r="S528" s="11" t="s">
        <v>124</v>
      </c>
    </row>
    <row r="529" customFormat="false" ht="15" hidden="false" customHeight="true" outlineLevel="0" collapsed="false">
      <c r="A529" s="15" t="s">
        <v>665</v>
      </c>
      <c r="B529" s="16" t="n">
        <v>45670</v>
      </c>
      <c r="C529" s="15" t="s">
        <v>49</v>
      </c>
      <c r="D529" s="15" t="s">
        <v>152</v>
      </c>
      <c r="E529" s="15" t="s">
        <v>152</v>
      </c>
      <c r="F529" s="15" t="s">
        <v>60</v>
      </c>
      <c r="G529" s="15" t="s">
        <v>52</v>
      </c>
      <c r="H529" s="15" t="s">
        <v>43</v>
      </c>
      <c r="I529" s="15" t="s">
        <v>44</v>
      </c>
      <c r="J529" s="15" t="s">
        <v>106</v>
      </c>
      <c r="K529" s="17" t="n">
        <v>480.72</v>
      </c>
      <c r="L529" s="15" t="n">
        <v>43</v>
      </c>
      <c r="M529" s="18" t="n">
        <v>0</v>
      </c>
      <c r="N529" s="17" t="n">
        <v>189.2</v>
      </c>
      <c r="O529" s="17" t="n">
        <f aca="false">K529*L529*(1-M529)</f>
        <v>20670.96</v>
      </c>
      <c r="P529" s="17" t="n">
        <f aca="false">N529*L529</f>
        <v>8135.6</v>
      </c>
      <c r="Q529" s="17" t="n">
        <f aca="false">O529-P529</f>
        <v>12535.36</v>
      </c>
      <c r="R529" s="15" t="s">
        <v>114</v>
      </c>
      <c r="S529" s="15" t="s">
        <v>47</v>
      </c>
    </row>
    <row r="530" customFormat="false" ht="15" hidden="false" customHeight="true" outlineLevel="0" collapsed="false">
      <c r="A530" s="11" t="s">
        <v>666</v>
      </c>
      <c r="B530" s="12" t="n">
        <v>45671</v>
      </c>
      <c r="C530" s="11" t="s">
        <v>74</v>
      </c>
      <c r="D530" s="11" t="s">
        <v>171</v>
      </c>
      <c r="E530" s="11" t="s">
        <v>172</v>
      </c>
      <c r="F530" s="11" t="s">
        <v>99</v>
      </c>
      <c r="G530" s="11" t="s">
        <v>42</v>
      </c>
      <c r="H530" s="11" t="s">
        <v>53</v>
      </c>
      <c r="I530" s="11" t="s">
        <v>94</v>
      </c>
      <c r="J530" s="11" t="s">
        <v>95</v>
      </c>
      <c r="K530" s="13" t="n">
        <v>38.57</v>
      </c>
      <c r="L530" s="11" t="n">
        <v>102</v>
      </c>
      <c r="M530" s="14" t="n">
        <v>0.05</v>
      </c>
      <c r="N530" s="13" t="n">
        <v>24.47</v>
      </c>
      <c r="O530" s="13" t="n">
        <f aca="false">K530*L530*(1-M530)</f>
        <v>3737.433</v>
      </c>
      <c r="P530" s="13" t="n">
        <f aca="false">N530*L530</f>
        <v>2495.94</v>
      </c>
      <c r="Q530" s="13" t="n">
        <f aca="false">O530-P530</f>
        <v>1241.493</v>
      </c>
      <c r="R530" s="11" t="s">
        <v>46</v>
      </c>
      <c r="S530" s="11" t="s">
        <v>47</v>
      </c>
    </row>
    <row r="531" customFormat="false" ht="15" hidden="false" customHeight="true" outlineLevel="0" collapsed="false">
      <c r="A531" s="15" t="s">
        <v>667</v>
      </c>
      <c r="B531" s="16" t="n">
        <v>45672</v>
      </c>
      <c r="C531" s="15" t="s">
        <v>49</v>
      </c>
      <c r="D531" s="15" t="s">
        <v>50</v>
      </c>
      <c r="E531" s="15" t="s">
        <v>50</v>
      </c>
      <c r="F531" s="15" t="s">
        <v>68</v>
      </c>
      <c r="G531" s="15" t="s">
        <v>52</v>
      </c>
      <c r="H531" s="15" t="s">
        <v>84</v>
      </c>
      <c r="I531" s="15" t="s">
        <v>100</v>
      </c>
      <c r="J531" s="15" t="s">
        <v>139</v>
      </c>
      <c r="K531" s="17" t="n">
        <v>1235.61</v>
      </c>
      <c r="L531" s="15" t="n">
        <v>5</v>
      </c>
      <c r="M531" s="18" t="n">
        <v>0.1</v>
      </c>
      <c r="N531" s="17" t="n">
        <v>900.97</v>
      </c>
      <c r="O531" s="17" t="n">
        <f aca="false">K531*L531*(1-M531)</f>
        <v>5560.245</v>
      </c>
      <c r="P531" s="17" t="n">
        <f aca="false">N531*L531</f>
        <v>4504.85</v>
      </c>
      <c r="Q531" s="17" t="n">
        <f aca="false">O531-P531</f>
        <v>1055.395</v>
      </c>
      <c r="R531" s="15" t="s">
        <v>71</v>
      </c>
      <c r="S531" s="15" t="s">
        <v>72</v>
      </c>
    </row>
    <row r="532" customFormat="false" ht="15" hidden="false" customHeight="true" outlineLevel="0" collapsed="false">
      <c r="A532" s="11" t="s">
        <v>668</v>
      </c>
      <c r="B532" s="12" t="n">
        <v>45673</v>
      </c>
      <c r="C532" s="11" t="s">
        <v>38</v>
      </c>
      <c r="D532" s="11" t="s">
        <v>39</v>
      </c>
      <c r="E532" s="11" t="s">
        <v>40</v>
      </c>
      <c r="F532" s="11" t="s">
        <v>51</v>
      </c>
      <c r="G532" s="11" t="s">
        <v>52</v>
      </c>
      <c r="H532" s="11" t="s">
        <v>53</v>
      </c>
      <c r="I532" s="11" t="s">
        <v>69</v>
      </c>
      <c r="J532" s="11" t="s">
        <v>70</v>
      </c>
      <c r="K532" s="13" t="n">
        <v>22.83</v>
      </c>
      <c r="L532" s="11" t="n">
        <v>127</v>
      </c>
      <c r="M532" s="14" t="n">
        <v>0.15</v>
      </c>
      <c r="N532" s="13" t="n">
        <v>16.27</v>
      </c>
      <c r="O532" s="13" t="n">
        <f aca="false">K532*L532*(1-M532)</f>
        <v>2464.4985</v>
      </c>
      <c r="P532" s="13" t="n">
        <f aca="false">N532*L532</f>
        <v>2066.29</v>
      </c>
      <c r="Q532" s="13" t="n">
        <f aca="false">O532-P532</f>
        <v>398.2085</v>
      </c>
      <c r="R532" s="11" t="s">
        <v>46</v>
      </c>
      <c r="S532" s="11" t="s">
        <v>47</v>
      </c>
    </row>
    <row r="533" customFormat="false" ht="15" hidden="false" customHeight="true" outlineLevel="0" collapsed="false">
      <c r="A533" s="15" t="s">
        <v>669</v>
      </c>
      <c r="B533" s="16" t="n">
        <v>45673</v>
      </c>
      <c r="C533" s="15" t="s">
        <v>57</v>
      </c>
      <c r="D533" s="15" t="s">
        <v>58</v>
      </c>
      <c r="E533" s="15" t="s">
        <v>59</v>
      </c>
      <c r="F533" s="15" t="s">
        <v>41</v>
      </c>
      <c r="G533" s="15" t="s">
        <v>52</v>
      </c>
      <c r="H533" s="15" t="s">
        <v>53</v>
      </c>
      <c r="I533" s="15" t="s">
        <v>54</v>
      </c>
      <c r="J533" s="15" t="s">
        <v>55</v>
      </c>
      <c r="K533" s="17" t="n">
        <v>27.45</v>
      </c>
      <c r="L533" s="15" t="n">
        <v>68</v>
      </c>
      <c r="M533" s="18" t="n">
        <v>0</v>
      </c>
      <c r="N533" s="17" t="n">
        <v>19.66</v>
      </c>
      <c r="O533" s="17" t="n">
        <f aca="false">K533*L533*(1-M533)</f>
        <v>1866.6</v>
      </c>
      <c r="P533" s="17" t="n">
        <f aca="false">N533*L533</f>
        <v>1336.88</v>
      </c>
      <c r="Q533" s="17" t="n">
        <f aca="false">O533-P533</f>
        <v>529.72</v>
      </c>
      <c r="R533" s="15" t="s">
        <v>63</v>
      </c>
      <c r="S533" s="15" t="s">
        <v>72</v>
      </c>
    </row>
    <row r="534" customFormat="false" ht="15" hidden="false" customHeight="true" outlineLevel="0" collapsed="false">
      <c r="A534" s="11" t="s">
        <v>670</v>
      </c>
      <c r="B534" s="12" t="n">
        <v>45674</v>
      </c>
      <c r="C534" s="11" t="s">
        <v>65</v>
      </c>
      <c r="D534" s="11" t="s">
        <v>66</v>
      </c>
      <c r="E534" s="11" t="s">
        <v>67</v>
      </c>
      <c r="F534" s="11" t="s">
        <v>177</v>
      </c>
      <c r="G534" s="11" t="s">
        <v>126</v>
      </c>
      <c r="H534" s="11" t="s">
        <v>43</v>
      </c>
      <c r="I534" s="11" t="s">
        <v>44</v>
      </c>
      <c r="J534" s="11" t="s">
        <v>106</v>
      </c>
      <c r="K534" s="13" t="n">
        <v>408.16</v>
      </c>
      <c r="L534" s="11" t="n">
        <v>34</v>
      </c>
      <c r="M534" s="14" t="n">
        <v>0.1</v>
      </c>
      <c r="N534" s="13" t="n">
        <v>119.7</v>
      </c>
      <c r="O534" s="13" t="n">
        <f aca="false">K534*L534*(1-M534)</f>
        <v>12489.696</v>
      </c>
      <c r="P534" s="13" t="n">
        <f aca="false">N534*L534</f>
        <v>4069.8</v>
      </c>
      <c r="Q534" s="13" t="n">
        <f aca="false">O534-P534</f>
        <v>8419.896</v>
      </c>
      <c r="R534" s="11" t="s">
        <v>63</v>
      </c>
      <c r="S534" s="11" t="s">
        <v>47</v>
      </c>
    </row>
    <row r="535" customFormat="false" ht="15" hidden="false" customHeight="true" outlineLevel="0" collapsed="false">
      <c r="A535" s="15" t="s">
        <v>671</v>
      </c>
      <c r="B535" s="16" t="n">
        <v>45674</v>
      </c>
      <c r="C535" s="15" t="s">
        <v>49</v>
      </c>
      <c r="D535" s="15" t="s">
        <v>97</v>
      </c>
      <c r="E535" s="15" t="s">
        <v>112</v>
      </c>
      <c r="F535" s="15" t="s">
        <v>99</v>
      </c>
      <c r="G535" s="15" t="s">
        <v>52</v>
      </c>
      <c r="H535" s="15" t="s">
        <v>78</v>
      </c>
      <c r="I535" s="15" t="s">
        <v>79</v>
      </c>
      <c r="J535" s="15" t="s">
        <v>216</v>
      </c>
      <c r="K535" s="17" t="n">
        <v>4114.22</v>
      </c>
      <c r="L535" s="15" t="n">
        <v>8</v>
      </c>
      <c r="M535" s="18" t="n">
        <v>0</v>
      </c>
      <c r="N535" s="17" t="n">
        <v>3384.55</v>
      </c>
      <c r="O535" s="17" t="n">
        <f aca="false">K535*L535*(1-M535)</f>
        <v>32913.76</v>
      </c>
      <c r="P535" s="17" t="n">
        <f aca="false">N535*L535</f>
        <v>27076.4</v>
      </c>
      <c r="Q535" s="17" t="n">
        <f aca="false">O535-P535</f>
        <v>5837.36</v>
      </c>
      <c r="R535" s="15" t="s">
        <v>46</v>
      </c>
      <c r="S535" s="15" t="s">
        <v>47</v>
      </c>
    </row>
    <row r="536" customFormat="false" ht="15" hidden="false" customHeight="true" outlineLevel="0" collapsed="false">
      <c r="A536" s="11" t="s">
        <v>672</v>
      </c>
      <c r="B536" s="12" t="n">
        <v>45675</v>
      </c>
      <c r="C536" s="11" t="s">
        <v>57</v>
      </c>
      <c r="D536" s="11" t="s">
        <v>162</v>
      </c>
      <c r="E536" s="11" t="s">
        <v>163</v>
      </c>
      <c r="F536" s="11" t="s">
        <v>123</v>
      </c>
      <c r="G536" s="11" t="s">
        <v>52</v>
      </c>
      <c r="H536" s="11" t="s">
        <v>53</v>
      </c>
      <c r="I536" s="11" t="s">
        <v>69</v>
      </c>
      <c r="J536" s="11" t="s">
        <v>128</v>
      </c>
      <c r="K536" s="13" t="n">
        <v>13.57</v>
      </c>
      <c r="L536" s="11" t="n">
        <v>135</v>
      </c>
      <c r="M536" s="14" t="n">
        <v>0</v>
      </c>
      <c r="N536" s="13" t="n">
        <v>8.88</v>
      </c>
      <c r="O536" s="13" t="n">
        <f aca="false">K536*L536*(1-M536)</f>
        <v>1831.95</v>
      </c>
      <c r="P536" s="13" t="n">
        <f aca="false">N536*L536</f>
        <v>1198.8</v>
      </c>
      <c r="Q536" s="13" t="n">
        <f aca="false">O536-P536</f>
        <v>633.15</v>
      </c>
      <c r="R536" s="11" t="s">
        <v>46</v>
      </c>
      <c r="S536" s="11" t="s">
        <v>47</v>
      </c>
    </row>
    <row r="537" customFormat="false" ht="15" hidden="false" customHeight="true" outlineLevel="0" collapsed="false">
      <c r="A537" s="15" t="s">
        <v>673</v>
      </c>
      <c r="B537" s="16" t="n">
        <v>45675</v>
      </c>
      <c r="C537" s="15" t="s">
        <v>49</v>
      </c>
      <c r="D537" s="15" t="s">
        <v>152</v>
      </c>
      <c r="E537" s="15" t="s">
        <v>152</v>
      </c>
      <c r="F537" s="15" t="s">
        <v>41</v>
      </c>
      <c r="G537" s="15" t="s">
        <v>77</v>
      </c>
      <c r="H537" s="15" t="s">
        <v>84</v>
      </c>
      <c r="I537" s="15" t="s">
        <v>100</v>
      </c>
      <c r="J537" s="15" t="s">
        <v>101</v>
      </c>
      <c r="K537" s="17" t="n">
        <v>1838.56</v>
      </c>
      <c r="L537" s="15" t="n">
        <v>15</v>
      </c>
      <c r="M537" s="18" t="n">
        <v>0</v>
      </c>
      <c r="N537" s="17" t="n">
        <v>1407.68</v>
      </c>
      <c r="O537" s="17" t="n">
        <f aca="false">K537*L537*(1-M537)</f>
        <v>27578.4</v>
      </c>
      <c r="P537" s="17" t="n">
        <f aca="false">N537*L537</f>
        <v>21115.2</v>
      </c>
      <c r="Q537" s="17" t="n">
        <f aca="false">O537-P537</f>
        <v>6463.2</v>
      </c>
      <c r="R537" s="15" t="s">
        <v>46</v>
      </c>
      <c r="S537" s="15" t="s">
        <v>47</v>
      </c>
    </row>
    <row r="538" customFormat="false" ht="15" hidden="false" customHeight="true" outlineLevel="0" collapsed="false">
      <c r="A538" s="11" t="s">
        <v>674</v>
      </c>
      <c r="B538" s="12" t="n">
        <v>45675</v>
      </c>
      <c r="C538" s="11" t="s">
        <v>49</v>
      </c>
      <c r="D538" s="11" t="s">
        <v>97</v>
      </c>
      <c r="E538" s="11" t="s">
        <v>112</v>
      </c>
      <c r="F538" s="11" t="s">
        <v>118</v>
      </c>
      <c r="G538" s="11" t="s">
        <v>52</v>
      </c>
      <c r="H538" s="11" t="s">
        <v>78</v>
      </c>
      <c r="I538" s="11" t="s">
        <v>154</v>
      </c>
      <c r="J538" s="11" t="s">
        <v>155</v>
      </c>
      <c r="K538" s="13" t="n">
        <v>477.2</v>
      </c>
      <c r="L538" s="11" t="n">
        <v>10</v>
      </c>
      <c r="M538" s="14" t="n">
        <v>0.05</v>
      </c>
      <c r="N538" s="13" t="n">
        <v>389.23</v>
      </c>
      <c r="O538" s="13" t="n">
        <f aca="false">K538*L538*(1-M538)</f>
        <v>4533.4</v>
      </c>
      <c r="P538" s="13" t="n">
        <f aca="false">N538*L538</f>
        <v>3892.3</v>
      </c>
      <c r="Q538" s="13" t="n">
        <f aca="false">O538-P538</f>
        <v>641.1</v>
      </c>
      <c r="R538" s="11" t="s">
        <v>71</v>
      </c>
      <c r="S538" s="11" t="s">
        <v>47</v>
      </c>
    </row>
    <row r="539" customFormat="false" ht="15" hidden="false" customHeight="true" outlineLevel="0" collapsed="false">
      <c r="A539" s="15" t="s">
        <v>675</v>
      </c>
      <c r="B539" s="16" t="n">
        <v>45676</v>
      </c>
      <c r="C539" s="15" t="s">
        <v>57</v>
      </c>
      <c r="D539" s="15" t="s">
        <v>103</v>
      </c>
      <c r="E539" s="15" t="s">
        <v>104</v>
      </c>
      <c r="F539" s="15" t="s">
        <v>51</v>
      </c>
      <c r="G539" s="15" t="s">
        <v>130</v>
      </c>
      <c r="H539" s="15" t="s">
        <v>84</v>
      </c>
      <c r="I539" s="15" t="s">
        <v>100</v>
      </c>
      <c r="J539" s="15" t="s">
        <v>139</v>
      </c>
      <c r="K539" s="17" t="n">
        <v>937.53</v>
      </c>
      <c r="L539" s="15" t="n">
        <v>3</v>
      </c>
      <c r="M539" s="18" t="n">
        <v>0.05</v>
      </c>
      <c r="N539" s="17" t="n">
        <v>761.53</v>
      </c>
      <c r="O539" s="17" t="n">
        <f aca="false">K539*L539*(1-M539)</f>
        <v>2671.9605</v>
      </c>
      <c r="P539" s="17" t="n">
        <f aca="false">N539*L539</f>
        <v>2284.59</v>
      </c>
      <c r="Q539" s="17" t="n">
        <f aca="false">O539-P539</f>
        <v>387.3705</v>
      </c>
      <c r="R539" s="15" t="s">
        <v>46</v>
      </c>
      <c r="S539" s="15" t="s">
        <v>47</v>
      </c>
    </row>
    <row r="540" customFormat="false" ht="15" hidden="false" customHeight="true" outlineLevel="0" collapsed="false">
      <c r="A540" s="11" t="s">
        <v>676</v>
      </c>
      <c r="B540" s="12" t="n">
        <v>45676</v>
      </c>
      <c r="C540" s="11" t="s">
        <v>49</v>
      </c>
      <c r="D540" s="11" t="s">
        <v>97</v>
      </c>
      <c r="E540" s="11" t="s">
        <v>108</v>
      </c>
      <c r="F540" s="11" t="s">
        <v>135</v>
      </c>
      <c r="G540" s="11" t="s">
        <v>42</v>
      </c>
      <c r="H540" s="11" t="s">
        <v>53</v>
      </c>
      <c r="I540" s="11" t="s">
        <v>69</v>
      </c>
      <c r="J540" s="11" t="s">
        <v>70</v>
      </c>
      <c r="K540" s="13" t="n">
        <v>27.59</v>
      </c>
      <c r="L540" s="11" t="n">
        <v>144</v>
      </c>
      <c r="M540" s="14" t="n">
        <v>0.15</v>
      </c>
      <c r="N540" s="13" t="n">
        <v>18.64</v>
      </c>
      <c r="O540" s="13" t="n">
        <f aca="false">K540*L540*(1-M540)</f>
        <v>3377.016</v>
      </c>
      <c r="P540" s="13" t="n">
        <f aca="false">N540*L540</f>
        <v>2684.16</v>
      </c>
      <c r="Q540" s="13" t="n">
        <f aca="false">O540-P540</f>
        <v>692.856</v>
      </c>
      <c r="R540" s="11" t="s">
        <v>46</v>
      </c>
      <c r="S540" s="11" t="s">
        <v>47</v>
      </c>
    </row>
    <row r="541" customFormat="false" ht="15" hidden="false" customHeight="true" outlineLevel="0" collapsed="false">
      <c r="A541" s="15" t="s">
        <v>677</v>
      </c>
      <c r="B541" s="16" t="n">
        <v>45678</v>
      </c>
      <c r="C541" s="15" t="s">
        <v>49</v>
      </c>
      <c r="D541" s="15" t="s">
        <v>97</v>
      </c>
      <c r="E541" s="15" t="s">
        <v>112</v>
      </c>
      <c r="F541" s="15" t="s">
        <v>118</v>
      </c>
      <c r="G541" s="15" t="s">
        <v>130</v>
      </c>
      <c r="H541" s="15" t="s">
        <v>53</v>
      </c>
      <c r="I541" s="15" t="s">
        <v>94</v>
      </c>
      <c r="J541" s="15" t="s">
        <v>95</v>
      </c>
      <c r="K541" s="17" t="n">
        <v>25.25</v>
      </c>
      <c r="L541" s="15" t="n">
        <v>44</v>
      </c>
      <c r="M541" s="18" t="n">
        <v>0.05</v>
      </c>
      <c r="N541" s="17" t="n">
        <v>17.17</v>
      </c>
      <c r="O541" s="17" t="n">
        <f aca="false">K541*L541*(1-M541)</f>
        <v>1055.45</v>
      </c>
      <c r="P541" s="17" t="n">
        <f aca="false">N541*L541</f>
        <v>755.48</v>
      </c>
      <c r="Q541" s="17" t="n">
        <f aca="false">O541-P541</f>
        <v>299.97</v>
      </c>
      <c r="R541" s="15" t="s">
        <v>114</v>
      </c>
      <c r="S541" s="15" t="s">
        <v>47</v>
      </c>
    </row>
    <row r="542" customFormat="false" ht="15" hidden="false" customHeight="true" outlineLevel="0" collapsed="false">
      <c r="A542" s="11" t="s">
        <v>678</v>
      </c>
      <c r="B542" s="12" t="n">
        <v>45678</v>
      </c>
      <c r="C542" s="11" t="s">
        <v>38</v>
      </c>
      <c r="D542" s="11" t="s">
        <v>88</v>
      </c>
      <c r="E542" s="11" t="s">
        <v>89</v>
      </c>
      <c r="F542" s="11" t="s">
        <v>41</v>
      </c>
      <c r="G542" s="11" t="s">
        <v>52</v>
      </c>
      <c r="H542" s="11" t="s">
        <v>84</v>
      </c>
      <c r="I542" s="11" t="s">
        <v>136</v>
      </c>
      <c r="J542" s="11" t="s">
        <v>247</v>
      </c>
      <c r="K542" s="13" t="n">
        <v>870.32</v>
      </c>
      <c r="L542" s="11" t="n">
        <v>9</v>
      </c>
      <c r="M542" s="14" t="n">
        <v>0</v>
      </c>
      <c r="N542" s="13" t="n">
        <v>630.28</v>
      </c>
      <c r="O542" s="13" t="n">
        <f aca="false">K542*L542*(1-M542)</f>
        <v>7832.88</v>
      </c>
      <c r="P542" s="13" t="n">
        <f aca="false">N542*L542</f>
        <v>5672.52</v>
      </c>
      <c r="Q542" s="13" t="n">
        <f aca="false">O542-P542</f>
        <v>2160.36</v>
      </c>
      <c r="R542" s="11" t="s">
        <v>46</v>
      </c>
      <c r="S542" s="11" t="s">
        <v>124</v>
      </c>
    </row>
    <row r="543" customFormat="false" ht="15" hidden="false" customHeight="true" outlineLevel="0" collapsed="false">
      <c r="A543" s="15" t="s">
        <v>679</v>
      </c>
      <c r="B543" s="16" t="n">
        <v>45679</v>
      </c>
      <c r="C543" s="15" t="s">
        <v>49</v>
      </c>
      <c r="D543" s="15" t="s">
        <v>97</v>
      </c>
      <c r="E543" s="15" t="s">
        <v>112</v>
      </c>
      <c r="F543" s="15" t="s">
        <v>177</v>
      </c>
      <c r="G543" s="15" t="s">
        <v>126</v>
      </c>
      <c r="H543" s="15" t="s">
        <v>43</v>
      </c>
      <c r="I543" s="15" t="s">
        <v>61</v>
      </c>
      <c r="J543" s="15" t="s">
        <v>62</v>
      </c>
      <c r="K543" s="17" t="n">
        <v>428.6</v>
      </c>
      <c r="L543" s="15" t="n">
        <v>35</v>
      </c>
      <c r="M543" s="18" t="n">
        <v>0.1</v>
      </c>
      <c r="N543" s="17" t="n">
        <v>156.9</v>
      </c>
      <c r="O543" s="17" t="n">
        <f aca="false">K543*L543*(1-M543)</f>
        <v>13500.9</v>
      </c>
      <c r="P543" s="17" t="n">
        <f aca="false">N543*L543</f>
        <v>5491.5</v>
      </c>
      <c r="Q543" s="17" t="n">
        <f aca="false">O543-P543</f>
        <v>8009.4</v>
      </c>
      <c r="R543" s="15" t="s">
        <v>167</v>
      </c>
      <c r="S543" s="15" t="s">
        <v>47</v>
      </c>
    </row>
    <row r="544" customFormat="false" ht="15" hidden="false" customHeight="true" outlineLevel="0" collapsed="false">
      <c r="A544" s="11" t="s">
        <v>680</v>
      </c>
      <c r="B544" s="12" t="n">
        <v>45681</v>
      </c>
      <c r="C544" s="11" t="s">
        <v>38</v>
      </c>
      <c r="D544" s="11" t="s">
        <v>92</v>
      </c>
      <c r="E544" s="11" t="s">
        <v>93</v>
      </c>
      <c r="F544" s="11" t="s">
        <v>51</v>
      </c>
      <c r="G544" s="11" t="s">
        <v>42</v>
      </c>
      <c r="H544" s="11" t="s">
        <v>78</v>
      </c>
      <c r="I544" s="11" t="s">
        <v>154</v>
      </c>
      <c r="J544" s="11" t="s">
        <v>186</v>
      </c>
      <c r="K544" s="13" t="n">
        <v>918.57</v>
      </c>
      <c r="L544" s="11" t="n">
        <v>6</v>
      </c>
      <c r="M544" s="14" t="n">
        <v>0.05</v>
      </c>
      <c r="N544" s="13" t="n">
        <v>734.47</v>
      </c>
      <c r="O544" s="13" t="n">
        <f aca="false">K544*L544*(1-M544)</f>
        <v>5235.849</v>
      </c>
      <c r="P544" s="13" t="n">
        <f aca="false">N544*L544</f>
        <v>4406.82</v>
      </c>
      <c r="Q544" s="13" t="n">
        <f aca="false">O544-P544</f>
        <v>829.029000000001</v>
      </c>
      <c r="R544" s="11" t="s">
        <v>63</v>
      </c>
      <c r="S544" s="11" t="s">
        <v>47</v>
      </c>
    </row>
    <row r="545" customFormat="false" ht="15" hidden="false" customHeight="true" outlineLevel="0" collapsed="false">
      <c r="A545" s="15" t="s">
        <v>681</v>
      </c>
      <c r="B545" s="16" t="n">
        <v>45681</v>
      </c>
      <c r="C545" s="15" t="s">
        <v>38</v>
      </c>
      <c r="D545" s="15" t="s">
        <v>92</v>
      </c>
      <c r="E545" s="15" t="s">
        <v>93</v>
      </c>
      <c r="F545" s="15" t="s">
        <v>41</v>
      </c>
      <c r="G545" s="15" t="s">
        <v>42</v>
      </c>
      <c r="H545" s="15" t="s">
        <v>43</v>
      </c>
      <c r="I545" s="15" t="s">
        <v>61</v>
      </c>
      <c r="J545" s="15" t="s">
        <v>147</v>
      </c>
      <c r="K545" s="17" t="n">
        <v>372.68</v>
      </c>
      <c r="L545" s="15" t="n">
        <v>47</v>
      </c>
      <c r="M545" s="18" t="n">
        <v>0.05</v>
      </c>
      <c r="N545" s="17" t="n">
        <v>161.88</v>
      </c>
      <c r="O545" s="17" t="n">
        <f aca="false">K545*L545*(1-M545)</f>
        <v>16640.162</v>
      </c>
      <c r="P545" s="17" t="n">
        <f aca="false">N545*L545</f>
        <v>7608.36</v>
      </c>
      <c r="Q545" s="17" t="n">
        <f aca="false">O545-P545</f>
        <v>9031.802</v>
      </c>
      <c r="R545" s="15" t="s">
        <v>71</v>
      </c>
      <c r="S545" s="15" t="s">
        <v>47</v>
      </c>
    </row>
    <row r="546" customFormat="false" ht="15" hidden="false" customHeight="true" outlineLevel="0" collapsed="false">
      <c r="A546" s="11" t="s">
        <v>682</v>
      </c>
      <c r="B546" s="12" t="n">
        <v>45682</v>
      </c>
      <c r="C546" s="11" t="s">
        <v>49</v>
      </c>
      <c r="D546" s="11" t="s">
        <v>97</v>
      </c>
      <c r="E546" s="11" t="s">
        <v>98</v>
      </c>
      <c r="F546" s="11" t="s">
        <v>118</v>
      </c>
      <c r="G546" s="11" t="s">
        <v>42</v>
      </c>
      <c r="H546" s="11" t="s">
        <v>53</v>
      </c>
      <c r="I546" s="11" t="s">
        <v>69</v>
      </c>
      <c r="J546" s="11" t="s">
        <v>70</v>
      </c>
      <c r="K546" s="13" t="n">
        <v>26.57</v>
      </c>
      <c r="L546" s="11" t="n">
        <v>86</v>
      </c>
      <c r="M546" s="14" t="n">
        <v>0.05</v>
      </c>
      <c r="N546" s="13" t="n">
        <v>17.67</v>
      </c>
      <c r="O546" s="13" t="n">
        <f aca="false">K546*L546*(1-M546)</f>
        <v>2170.769</v>
      </c>
      <c r="P546" s="13" t="n">
        <f aca="false">N546*L546</f>
        <v>1519.62</v>
      </c>
      <c r="Q546" s="13" t="n">
        <f aca="false">O546-P546</f>
        <v>651.149</v>
      </c>
      <c r="R546" s="11" t="s">
        <v>63</v>
      </c>
      <c r="S546" s="11" t="s">
        <v>47</v>
      </c>
    </row>
    <row r="547" customFormat="false" ht="15" hidden="false" customHeight="true" outlineLevel="0" collapsed="false">
      <c r="A547" s="15" t="s">
        <v>683</v>
      </c>
      <c r="B547" s="16" t="n">
        <v>45683</v>
      </c>
      <c r="C547" s="15" t="s">
        <v>49</v>
      </c>
      <c r="D547" s="15" t="s">
        <v>97</v>
      </c>
      <c r="E547" s="15" t="s">
        <v>98</v>
      </c>
      <c r="F547" s="15" t="s">
        <v>60</v>
      </c>
      <c r="G547" s="15" t="s">
        <v>52</v>
      </c>
      <c r="H547" s="15" t="s">
        <v>78</v>
      </c>
      <c r="I547" s="15" t="s">
        <v>120</v>
      </c>
      <c r="J547" s="15" t="s">
        <v>232</v>
      </c>
      <c r="K547" s="17" t="n">
        <v>310.07</v>
      </c>
      <c r="L547" s="15" t="n">
        <v>60</v>
      </c>
      <c r="M547" s="18" t="n">
        <v>0.15</v>
      </c>
      <c r="N547" s="17" t="n">
        <v>246.46</v>
      </c>
      <c r="O547" s="17" t="n">
        <f aca="false">K547*L547*(1-M547)</f>
        <v>15813.57</v>
      </c>
      <c r="P547" s="17" t="n">
        <f aca="false">N547*L547</f>
        <v>14787.6</v>
      </c>
      <c r="Q547" s="17" t="n">
        <f aca="false">O547-P547</f>
        <v>1025.97</v>
      </c>
      <c r="R547" s="15" t="s">
        <v>114</v>
      </c>
      <c r="S547" s="15" t="s">
        <v>47</v>
      </c>
    </row>
    <row r="548" customFormat="false" ht="15" hidden="false" customHeight="true" outlineLevel="0" collapsed="false">
      <c r="A548" s="11" t="s">
        <v>684</v>
      </c>
      <c r="B548" s="12" t="n">
        <v>45684</v>
      </c>
      <c r="C548" s="11" t="s">
        <v>65</v>
      </c>
      <c r="D548" s="11" t="s">
        <v>116</v>
      </c>
      <c r="E548" s="11" t="s">
        <v>117</v>
      </c>
      <c r="F548" s="11" t="s">
        <v>135</v>
      </c>
      <c r="G548" s="11" t="s">
        <v>42</v>
      </c>
      <c r="H548" s="11" t="s">
        <v>43</v>
      </c>
      <c r="I548" s="11" t="s">
        <v>44</v>
      </c>
      <c r="J548" s="11" t="s">
        <v>45</v>
      </c>
      <c r="K548" s="13" t="n">
        <v>271.1</v>
      </c>
      <c r="L548" s="11" t="n">
        <v>16</v>
      </c>
      <c r="M548" s="14" t="n">
        <v>0</v>
      </c>
      <c r="N548" s="13" t="n">
        <v>89.16</v>
      </c>
      <c r="O548" s="13" t="n">
        <f aca="false">K548*L548*(1-M548)</f>
        <v>4337.6</v>
      </c>
      <c r="P548" s="13" t="n">
        <f aca="false">N548*L548</f>
        <v>1426.56</v>
      </c>
      <c r="Q548" s="13" t="n">
        <f aca="false">O548-P548</f>
        <v>2911.04</v>
      </c>
      <c r="R548" s="11" t="s">
        <v>63</v>
      </c>
      <c r="S548" s="11" t="s">
        <v>47</v>
      </c>
    </row>
    <row r="549" customFormat="false" ht="15" hidden="false" customHeight="true" outlineLevel="0" collapsed="false">
      <c r="A549" s="15" t="s">
        <v>685</v>
      </c>
      <c r="B549" s="16" t="n">
        <v>45684</v>
      </c>
      <c r="C549" s="15" t="s">
        <v>65</v>
      </c>
      <c r="D549" s="15" t="s">
        <v>66</v>
      </c>
      <c r="E549" s="15" t="s">
        <v>67</v>
      </c>
      <c r="F549" s="15" t="s">
        <v>177</v>
      </c>
      <c r="G549" s="15" t="s">
        <v>42</v>
      </c>
      <c r="H549" s="15" t="s">
        <v>78</v>
      </c>
      <c r="I549" s="15" t="s">
        <v>79</v>
      </c>
      <c r="J549" s="15" t="s">
        <v>216</v>
      </c>
      <c r="K549" s="17" t="n">
        <v>5001.78</v>
      </c>
      <c r="L549" s="15" t="n">
        <v>9</v>
      </c>
      <c r="M549" s="18" t="n">
        <v>0.05</v>
      </c>
      <c r="N549" s="17" t="n">
        <v>4278.92</v>
      </c>
      <c r="O549" s="17" t="n">
        <f aca="false">K549*L549*(1-M549)</f>
        <v>42765.219</v>
      </c>
      <c r="P549" s="17" t="n">
        <f aca="false">N549*L549</f>
        <v>38510.28</v>
      </c>
      <c r="Q549" s="17" t="n">
        <f aca="false">O549-P549</f>
        <v>4254.939</v>
      </c>
      <c r="R549" s="15" t="s">
        <v>114</v>
      </c>
      <c r="S549" s="15" t="s">
        <v>47</v>
      </c>
    </row>
    <row r="550" customFormat="false" ht="15" hidden="false" customHeight="true" outlineLevel="0" collapsed="false">
      <c r="A550" s="11" t="s">
        <v>686</v>
      </c>
      <c r="B550" s="12" t="n">
        <v>45687</v>
      </c>
      <c r="C550" s="11" t="s">
        <v>38</v>
      </c>
      <c r="D550" s="11" t="s">
        <v>92</v>
      </c>
      <c r="E550" s="11" t="s">
        <v>93</v>
      </c>
      <c r="F550" s="11" t="s">
        <v>118</v>
      </c>
      <c r="G550" s="11" t="s">
        <v>77</v>
      </c>
      <c r="H550" s="11" t="s">
        <v>78</v>
      </c>
      <c r="I550" s="11" t="s">
        <v>79</v>
      </c>
      <c r="J550" s="11" t="s">
        <v>80</v>
      </c>
      <c r="K550" s="13" t="n">
        <v>3322.48</v>
      </c>
      <c r="L550" s="11" t="n">
        <v>6</v>
      </c>
      <c r="M550" s="14" t="n">
        <v>0.05</v>
      </c>
      <c r="N550" s="13" t="n">
        <v>2755.16</v>
      </c>
      <c r="O550" s="13" t="n">
        <f aca="false">K550*L550*(1-M550)</f>
        <v>18938.136</v>
      </c>
      <c r="P550" s="13" t="n">
        <f aca="false">N550*L550</f>
        <v>16530.96</v>
      </c>
      <c r="Q550" s="13" t="n">
        <f aca="false">O550-P550</f>
        <v>2407.176</v>
      </c>
      <c r="R550" s="11" t="s">
        <v>46</v>
      </c>
      <c r="S550" s="11" t="s">
        <v>47</v>
      </c>
    </row>
    <row r="551" customFormat="false" ht="15" hidden="false" customHeight="true" outlineLevel="0" collapsed="false">
      <c r="A551" s="15" t="s">
        <v>687</v>
      </c>
      <c r="B551" s="16" t="n">
        <v>45687</v>
      </c>
      <c r="C551" s="15" t="s">
        <v>49</v>
      </c>
      <c r="D551" s="15" t="s">
        <v>97</v>
      </c>
      <c r="E551" s="15" t="s">
        <v>108</v>
      </c>
      <c r="F551" s="15" t="s">
        <v>109</v>
      </c>
      <c r="G551" s="15" t="s">
        <v>77</v>
      </c>
      <c r="H551" s="15" t="s">
        <v>53</v>
      </c>
      <c r="I551" s="15" t="s">
        <v>54</v>
      </c>
      <c r="J551" s="15" t="s">
        <v>113</v>
      </c>
      <c r="K551" s="17" t="n">
        <v>27.01</v>
      </c>
      <c r="L551" s="15" t="n">
        <v>105</v>
      </c>
      <c r="M551" s="18" t="n">
        <v>0</v>
      </c>
      <c r="N551" s="17" t="n">
        <v>18.56</v>
      </c>
      <c r="O551" s="17" t="n">
        <f aca="false">K551*L551*(1-M551)</f>
        <v>2836.05</v>
      </c>
      <c r="P551" s="17" t="n">
        <f aca="false">N551*L551</f>
        <v>1948.8</v>
      </c>
      <c r="Q551" s="17" t="n">
        <f aca="false">O551-P551</f>
        <v>887.25</v>
      </c>
      <c r="R551" s="15" t="s">
        <v>46</v>
      </c>
      <c r="S551" s="15" t="s">
        <v>47</v>
      </c>
    </row>
    <row r="552" customFormat="false" ht="15" hidden="false" customHeight="true" outlineLevel="0" collapsed="false">
      <c r="A552" s="11" t="s">
        <v>688</v>
      </c>
      <c r="B552" s="12" t="n">
        <v>45688</v>
      </c>
      <c r="C552" s="11" t="s">
        <v>74</v>
      </c>
      <c r="D552" s="11" t="s">
        <v>171</v>
      </c>
      <c r="E552" s="11" t="s">
        <v>172</v>
      </c>
      <c r="F552" s="11" t="s">
        <v>51</v>
      </c>
      <c r="G552" s="11" t="s">
        <v>42</v>
      </c>
      <c r="H552" s="11" t="s">
        <v>43</v>
      </c>
      <c r="I552" s="11" t="s">
        <v>44</v>
      </c>
      <c r="J552" s="11" t="s">
        <v>106</v>
      </c>
      <c r="K552" s="13" t="n">
        <v>285.64</v>
      </c>
      <c r="L552" s="11" t="n">
        <v>56</v>
      </c>
      <c r="M552" s="14" t="n">
        <v>0</v>
      </c>
      <c r="N552" s="13" t="n">
        <v>122.11</v>
      </c>
      <c r="O552" s="13" t="n">
        <f aca="false">K552*L552*(1-M552)</f>
        <v>15995.84</v>
      </c>
      <c r="P552" s="13" t="n">
        <f aca="false">N552*L552</f>
        <v>6838.16</v>
      </c>
      <c r="Q552" s="13" t="n">
        <f aca="false">O552-P552</f>
        <v>9157.68</v>
      </c>
      <c r="R552" s="11" t="s">
        <v>114</v>
      </c>
      <c r="S552" s="11" t="s">
        <v>187</v>
      </c>
    </row>
    <row r="553" customFormat="false" ht="15" hidden="false" customHeight="true" outlineLevel="0" collapsed="false">
      <c r="A553" s="15" t="s">
        <v>689</v>
      </c>
      <c r="B553" s="16" t="n">
        <v>45690</v>
      </c>
      <c r="C553" s="15" t="s">
        <v>49</v>
      </c>
      <c r="D553" s="15" t="s">
        <v>97</v>
      </c>
      <c r="E553" s="15" t="s">
        <v>108</v>
      </c>
      <c r="F553" s="15" t="s">
        <v>41</v>
      </c>
      <c r="G553" s="15" t="s">
        <v>42</v>
      </c>
      <c r="H553" s="15" t="s">
        <v>84</v>
      </c>
      <c r="I553" s="15" t="s">
        <v>136</v>
      </c>
      <c r="J553" s="15" t="s">
        <v>247</v>
      </c>
      <c r="K553" s="17" t="n">
        <v>483.73</v>
      </c>
      <c r="L553" s="15" t="n">
        <v>14</v>
      </c>
      <c r="M553" s="18" t="n">
        <v>0</v>
      </c>
      <c r="N553" s="17" t="n">
        <v>375.12</v>
      </c>
      <c r="O553" s="17" t="n">
        <f aca="false">K553*L553*(1-M553)</f>
        <v>6772.22</v>
      </c>
      <c r="P553" s="17" t="n">
        <f aca="false">N553*L553</f>
        <v>5251.68</v>
      </c>
      <c r="Q553" s="17" t="n">
        <f aca="false">O553-P553</f>
        <v>1520.54</v>
      </c>
      <c r="R553" s="15" t="s">
        <v>63</v>
      </c>
      <c r="S553" s="15" t="s">
        <v>47</v>
      </c>
    </row>
    <row r="554" customFormat="false" ht="15" hidden="false" customHeight="true" outlineLevel="0" collapsed="false">
      <c r="A554" s="11" t="s">
        <v>690</v>
      </c>
      <c r="B554" s="12" t="n">
        <v>45690</v>
      </c>
      <c r="C554" s="11" t="s">
        <v>65</v>
      </c>
      <c r="D554" s="11" t="s">
        <v>66</v>
      </c>
      <c r="E554" s="11" t="s">
        <v>67</v>
      </c>
      <c r="F554" s="11" t="s">
        <v>118</v>
      </c>
      <c r="G554" s="11" t="s">
        <v>52</v>
      </c>
      <c r="H554" s="11" t="s">
        <v>84</v>
      </c>
      <c r="I554" s="11" t="s">
        <v>100</v>
      </c>
      <c r="J554" s="11" t="s">
        <v>139</v>
      </c>
      <c r="K554" s="13" t="n">
        <v>689.51</v>
      </c>
      <c r="L554" s="11" t="n">
        <v>17</v>
      </c>
      <c r="M554" s="14" t="n">
        <v>0</v>
      </c>
      <c r="N554" s="13" t="n">
        <v>545.44</v>
      </c>
      <c r="O554" s="13" t="n">
        <f aca="false">K554*L554*(1-M554)</f>
        <v>11721.67</v>
      </c>
      <c r="P554" s="13" t="n">
        <f aca="false">N554*L554</f>
        <v>9272.48</v>
      </c>
      <c r="Q554" s="13" t="n">
        <f aca="false">O554-P554</f>
        <v>2449.19</v>
      </c>
      <c r="R554" s="11" t="s">
        <v>46</v>
      </c>
      <c r="S554" s="11" t="s">
        <v>47</v>
      </c>
    </row>
    <row r="555" customFormat="false" ht="15" hidden="false" customHeight="true" outlineLevel="0" collapsed="false">
      <c r="A555" s="15" t="s">
        <v>691</v>
      </c>
      <c r="B555" s="16" t="n">
        <v>45691</v>
      </c>
      <c r="C555" s="15" t="s">
        <v>74</v>
      </c>
      <c r="D555" s="15" t="s">
        <v>75</v>
      </c>
      <c r="E555" s="15" t="s">
        <v>76</v>
      </c>
      <c r="F555" s="15" t="s">
        <v>51</v>
      </c>
      <c r="G555" s="15" t="s">
        <v>42</v>
      </c>
      <c r="H555" s="15" t="s">
        <v>84</v>
      </c>
      <c r="I555" s="15" t="s">
        <v>100</v>
      </c>
      <c r="J555" s="15" t="s">
        <v>101</v>
      </c>
      <c r="K555" s="17" t="n">
        <v>1244.96</v>
      </c>
      <c r="L555" s="15" t="n">
        <v>13</v>
      </c>
      <c r="M555" s="18" t="n">
        <v>0</v>
      </c>
      <c r="N555" s="17" t="n">
        <v>996.99</v>
      </c>
      <c r="O555" s="17" t="n">
        <f aca="false">K555*L555*(1-M555)</f>
        <v>16184.48</v>
      </c>
      <c r="P555" s="17" t="n">
        <f aca="false">N555*L555</f>
        <v>12960.87</v>
      </c>
      <c r="Q555" s="17" t="n">
        <f aca="false">O555-P555</f>
        <v>3223.61</v>
      </c>
      <c r="R555" s="15" t="s">
        <v>46</v>
      </c>
      <c r="S555" s="15" t="s">
        <v>47</v>
      </c>
    </row>
    <row r="556" customFormat="false" ht="15" hidden="false" customHeight="true" outlineLevel="0" collapsed="false">
      <c r="A556" s="11" t="s">
        <v>692</v>
      </c>
      <c r="B556" s="12" t="n">
        <v>45691</v>
      </c>
      <c r="C556" s="11" t="s">
        <v>65</v>
      </c>
      <c r="D556" s="11" t="s">
        <v>66</v>
      </c>
      <c r="E556" s="11" t="s">
        <v>67</v>
      </c>
      <c r="F556" s="11" t="s">
        <v>118</v>
      </c>
      <c r="G556" s="11" t="s">
        <v>52</v>
      </c>
      <c r="H556" s="11" t="s">
        <v>84</v>
      </c>
      <c r="I556" s="11" t="s">
        <v>136</v>
      </c>
      <c r="J556" s="11" t="s">
        <v>137</v>
      </c>
      <c r="K556" s="13" t="n">
        <v>395.94</v>
      </c>
      <c r="L556" s="11" t="n">
        <v>13</v>
      </c>
      <c r="M556" s="14" t="n">
        <v>0.1</v>
      </c>
      <c r="N556" s="13" t="n">
        <v>290.72</v>
      </c>
      <c r="O556" s="13" t="n">
        <f aca="false">K556*L556*(1-M556)</f>
        <v>4632.498</v>
      </c>
      <c r="P556" s="13" t="n">
        <f aca="false">N556*L556</f>
        <v>3779.36</v>
      </c>
      <c r="Q556" s="13" t="n">
        <f aca="false">O556-P556</f>
        <v>853.138</v>
      </c>
      <c r="R556" s="11" t="s">
        <v>46</v>
      </c>
      <c r="S556" s="11" t="s">
        <v>47</v>
      </c>
    </row>
    <row r="557" customFormat="false" ht="15" hidden="false" customHeight="true" outlineLevel="0" collapsed="false">
      <c r="A557" s="15" t="s">
        <v>693</v>
      </c>
      <c r="B557" s="16" t="n">
        <v>45692</v>
      </c>
      <c r="C557" s="15" t="s">
        <v>65</v>
      </c>
      <c r="D557" s="15" t="s">
        <v>66</v>
      </c>
      <c r="E557" s="15" t="s">
        <v>67</v>
      </c>
      <c r="F557" s="15" t="s">
        <v>118</v>
      </c>
      <c r="G557" s="15" t="s">
        <v>77</v>
      </c>
      <c r="H557" s="15" t="s">
        <v>84</v>
      </c>
      <c r="I557" s="15" t="s">
        <v>100</v>
      </c>
      <c r="J557" s="15" t="s">
        <v>139</v>
      </c>
      <c r="K557" s="17" t="n">
        <v>661.77</v>
      </c>
      <c r="L557" s="15" t="n">
        <v>19</v>
      </c>
      <c r="M557" s="18" t="n">
        <v>0</v>
      </c>
      <c r="N557" s="17" t="n">
        <v>531.86</v>
      </c>
      <c r="O557" s="17" t="n">
        <f aca="false">K557*L557*(1-M557)</f>
        <v>12573.63</v>
      </c>
      <c r="P557" s="17" t="n">
        <f aca="false">N557*L557</f>
        <v>10105.34</v>
      </c>
      <c r="Q557" s="17" t="n">
        <f aca="false">O557-P557</f>
        <v>2468.29</v>
      </c>
      <c r="R557" s="15" t="s">
        <v>46</v>
      </c>
      <c r="S557" s="15" t="s">
        <v>47</v>
      </c>
    </row>
    <row r="558" customFormat="false" ht="15" hidden="false" customHeight="true" outlineLevel="0" collapsed="false">
      <c r="A558" s="11" t="s">
        <v>694</v>
      </c>
      <c r="B558" s="12" t="n">
        <v>45692</v>
      </c>
      <c r="C558" s="11" t="s">
        <v>49</v>
      </c>
      <c r="D558" s="11" t="s">
        <v>152</v>
      </c>
      <c r="E558" s="11" t="s">
        <v>152</v>
      </c>
      <c r="F558" s="11" t="s">
        <v>60</v>
      </c>
      <c r="G558" s="11" t="s">
        <v>42</v>
      </c>
      <c r="H558" s="11" t="s">
        <v>78</v>
      </c>
      <c r="I558" s="11" t="s">
        <v>143</v>
      </c>
      <c r="J558" s="11" t="s">
        <v>158</v>
      </c>
      <c r="K558" s="13" t="n">
        <v>823.4</v>
      </c>
      <c r="L558" s="11" t="n">
        <v>1</v>
      </c>
      <c r="M558" s="14" t="n">
        <v>0.15</v>
      </c>
      <c r="N558" s="13" t="n">
        <v>683.04</v>
      </c>
      <c r="O558" s="13" t="n">
        <f aca="false">K558*L558*(1-M558)</f>
        <v>699.89</v>
      </c>
      <c r="P558" s="13" t="n">
        <f aca="false">N558*L558</f>
        <v>683.04</v>
      </c>
      <c r="Q558" s="13" t="n">
        <f aca="false">O558-P558</f>
        <v>16.85</v>
      </c>
      <c r="R558" s="11" t="s">
        <v>167</v>
      </c>
      <c r="S558" s="11" t="s">
        <v>187</v>
      </c>
    </row>
    <row r="559" customFormat="false" ht="15" hidden="false" customHeight="true" outlineLevel="0" collapsed="false">
      <c r="A559" s="15" t="s">
        <v>695</v>
      </c>
      <c r="B559" s="16" t="n">
        <v>45693</v>
      </c>
      <c r="C559" s="15" t="s">
        <v>49</v>
      </c>
      <c r="D559" s="15" t="s">
        <v>152</v>
      </c>
      <c r="E559" s="15" t="s">
        <v>152</v>
      </c>
      <c r="F559" s="15" t="s">
        <v>109</v>
      </c>
      <c r="G559" s="15" t="s">
        <v>126</v>
      </c>
      <c r="H559" s="15" t="s">
        <v>84</v>
      </c>
      <c r="I559" s="15" t="s">
        <v>85</v>
      </c>
      <c r="J559" s="15" t="s">
        <v>86</v>
      </c>
      <c r="K559" s="17" t="n">
        <v>274.07</v>
      </c>
      <c r="L559" s="15" t="n">
        <v>13</v>
      </c>
      <c r="M559" s="18" t="n">
        <v>0.05</v>
      </c>
      <c r="N559" s="17" t="n">
        <v>208.05</v>
      </c>
      <c r="O559" s="17" t="n">
        <f aca="false">K559*L559*(1-M559)</f>
        <v>3384.7645</v>
      </c>
      <c r="P559" s="17" t="n">
        <f aca="false">N559*L559</f>
        <v>2704.65</v>
      </c>
      <c r="Q559" s="17" t="n">
        <f aca="false">O559-P559</f>
        <v>680.1145</v>
      </c>
      <c r="R559" s="15" t="s">
        <v>63</v>
      </c>
      <c r="S559" s="15" t="s">
        <v>47</v>
      </c>
    </row>
    <row r="560" customFormat="false" ht="15" hidden="false" customHeight="true" outlineLevel="0" collapsed="false">
      <c r="A560" s="11" t="s">
        <v>696</v>
      </c>
      <c r="B560" s="12" t="n">
        <v>45693</v>
      </c>
      <c r="C560" s="11" t="s">
        <v>57</v>
      </c>
      <c r="D560" s="11" t="s">
        <v>162</v>
      </c>
      <c r="E560" s="11" t="s">
        <v>163</v>
      </c>
      <c r="F560" s="11" t="s">
        <v>99</v>
      </c>
      <c r="G560" s="11" t="s">
        <v>42</v>
      </c>
      <c r="H560" s="11" t="s">
        <v>78</v>
      </c>
      <c r="I560" s="11" t="s">
        <v>120</v>
      </c>
      <c r="J560" s="11" t="s">
        <v>121</v>
      </c>
      <c r="K560" s="13" t="n">
        <v>361.85</v>
      </c>
      <c r="L560" s="11" t="n">
        <v>53</v>
      </c>
      <c r="M560" s="14" t="n">
        <v>0</v>
      </c>
      <c r="N560" s="13" t="n">
        <v>284.85</v>
      </c>
      <c r="O560" s="13" t="n">
        <f aca="false">K560*L560*(1-M560)</f>
        <v>19178.05</v>
      </c>
      <c r="P560" s="13" t="n">
        <f aca="false">N560*L560</f>
        <v>15097.05</v>
      </c>
      <c r="Q560" s="13" t="n">
        <f aca="false">O560-P560</f>
        <v>4081</v>
      </c>
      <c r="R560" s="11" t="s">
        <v>46</v>
      </c>
      <c r="S560" s="11" t="s">
        <v>187</v>
      </c>
    </row>
    <row r="561" customFormat="false" ht="15" hidden="false" customHeight="true" outlineLevel="0" collapsed="false">
      <c r="A561" s="15" t="s">
        <v>697</v>
      </c>
      <c r="B561" s="16" t="n">
        <v>45694</v>
      </c>
      <c r="C561" s="15" t="s">
        <v>38</v>
      </c>
      <c r="D561" s="15" t="s">
        <v>39</v>
      </c>
      <c r="E561" s="15" t="s">
        <v>40</v>
      </c>
      <c r="F561" s="15" t="s">
        <v>99</v>
      </c>
      <c r="G561" s="15" t="s">
        <v>77</v>
      </c>
      <c r="H561" s="15" t="s">
        <v>43</v>
      </c>
      <c r="I561" s="15" t="s">
        <v>61</v>
      </c>
      <c r="J561" s="15" t="s">
        <v>62</v>
      </c>
      <c r="K561" s="17" t="n">
        <v>398.3</v>
      </c>
      <c r="L561" s="15" t="n">
        <v>15</v>
      </c>
      <c r="M561" s="18" t="n">
        <v>0</v>
      </c>
      <c r="N561" s="17" t="n">
        <v>141.55</v>
      </c>
      <c r="O561" s="17" t="n">
        <f aca="false">K561*L561*(1-M561)</f>
        <v>5974.5</v>
      </c>
      <c r="P561" s="17" t="n">
        <f aca="false">N561*L561</f>
        <v>2123.25</v>
      </c>
      <c r="Q561" s="17" t="n">
        <f aca="false">O561-P561</f>
        <v>3851.25</v>
      </c>
      <c r="R561" s="15" t="s">
        <v>46</v>
      </c>
      <c r="S561" s="15" t="s">
        <v>187</v>
      </c>
    </row>
    <row r="562" customFormat="false" ht="15" hidden="false" customHeight="true" outlineLevel="0" collapsed="false">
      <c r="A562" s="11" t="s">
        <v>698</v>
      </c>
      <c r="B562" s="12" t="n">
        <v>45694</v>
      </c>
      <c r="C562" s="11" t="s">
        <v>49</v>
      </c>
      <c r="D562" s="11" t="s">
        <v>152</v>
      </c>
      <c r="E562" s="11" t="s">
        <v>152</v>
      </c>
      <c r="F562" s="11" t="s">
        <v>68</v>
      </c>
      <c r="G562" s="11" t="s">
        <v>52</v>
      </c>
      <c r="H562" s="11" t="s">
        <v>84</v>
      </c>
      <c r="I562" s="11" t="s">
        <v>136</v>
      </c>
      <c r="J562" s="11" t="s">
        <v>247</v>
      </c>
      <c r="K562" s="13" t="n">
        <v>942.83</v>
      </c>
      <c r="L562" s="11" t="n">
        <v>29</v>
      </c>
      <c r="M562" s="14" t="n">
        <v>0.1</v>
      </c>
      <c r="N562" s="13" t="n">
        <v>726.4</v>
      </c>
      <c r="O562" s="13" t="n">
        <f aca="false">K562*L562*(1-M562)</f>
        <v>24607.863</v>
      </c>
      <c r="P562" s="13" t="n">
        <f aca="false">N562*L562</f>
        <v>21065.6</v>
      </c>
      <c r="Q562" s="13" t="n">
        <f aca="false">O562-P562</f>
        <v>3542.263</v>
      </c>
      <c r="R562" s="11" t="s">
        <v>46</v>
      </c>
      <c r="S562" s="11" t="s">
        <v>47</v>
      </c>
    </row>
    <row r="563" customFormat="false" ht="15" hidden="false" customHeight="true" outlineLevel="0" collapsed="false">
      <c r="A563" s="15" t="s">
        <v>699</v>
      </c>
      <c r="B563" s="16" t="n">
        <v>45695</v>
      </c>
      <c r="C563" s="15" t="s">
        <v>49</v>
      </c>
      <c r="D563" s="15" t="s">
        <v>50</v>
      </c>
      <c r="E563" s="15" t="s">
        <v>50</v>
      </c>
      <c r="F563" s="15" t="s">
        <v>99</v>
      </c>
      <c r="G563" s="15" t="s">
        <v>126</v>
      </c>
      <c r="H563" s="15" t="s">
        <v>84</v>
      </c>
      <c r="I563" s="15" t="s">
        <v>100</v>
      </c>
      <c r="J563" s="15" t="s">
        <v>101</v>
      </c>
      <c r="K563" s="17" t="n">
        <v>1799.56</v>
      </c>
      <c r="L563" s="15" t="n">
        <v>8</v>
      </c>
      <c r="M563" s="18" t="n">
        <v>0.1</v>
      </c>
      <c r="N563" s="17" t="n">
        <v>1378.82</v>
      </c>
      <c r="O563" s="17" t="n">
        <f aca="false">K563*L563*(1-M563)</f>
        <v>12956.832</v>
      </c>
      <c r="P563" s="17" t="n">
        <f aca="false">N563*L563</f>
        <v>11030.56</v>
      </c>
      <c r="Q563" s="17" t="n">
        <f aca="false">O563-P563</f>
        <v>1926.272</v>
      </c>
      <c r="R563" s="15" t="s">
        <v>46</v>
      </c>
      <c r="S563" s="15" t="s">
        <v>47</v>
      </c>
    </row>
    <row r="564" customFormat="false" ht="15" hidden="false" customHeight="true" outlineLevel="0" collapsed="false">
      <c r="A564" s="11" t="s">
        <v>700</v>
      </c>
      <c r="B564" s="12" t="n">
        <v>45695</v>
      </c>
      <c r="C564" s="11" t="s">
        <v>49</v>
      </c>
      <c r="D564" s="11" t="s">
        <v>97</v>
      </c>
      <c r="E564" s="11" t="s">
        <v>112</v>
      </c>
      <c r="F564" s="11" t="s">
        <v>51</v>
      </c>
      <c r="G564" s="11" t="s">
        <v>52</v>
      </c>
      <c r="H564" s="11" t="s">
        <v>53</v>
      </c>
      <c r="I564" s="11" t="s">
        <v>94</v>
      </c>
      <c r="J564" s="11" t="s">
        <v>131</v>
      </c>
      <c r="K564" s="13" t="n">
        <v>37.26</v>
      </c>
      <c r="L564" s="11" t="n">
        <v>63</v>
      </c>
      <c r="M564" s="14" t="n">
        <v>0</v>
      </c>
      <c r="N564" s="13" t="n">
        <v>21.11</v>
      </c>
      <c r="O564" s="13" t="n">
        <f aca="false">K564*L564*(1-M564)</f>
        <v>2347.38</v>
      </c>
      <c r="P564" s="13" t="n">
        <f aca="false">N564*L564</f>
        <v>1329.93</v>
      </c>
      <c r="Q564" s="13" t="n">
        <f aca="false">O564-P564</f>
        <v>1017.45</v>
      </c>
      <c r="R564" s="11" t="s">
        <v>46</v>
      </c>
      <c r="S564" s="11" t="s">
        <v>47</v>
      </c>
    </row>
    <row r="565" customFormat="false" ht="15" hidden="false" customHeight="true" outlineLevel="0" collapsed="false">
      <c r="A565" s="15" t="s">
        <v>701</v>
      </c>
      <c r="B565" s="16" t="n">
        <v>45697</v>
      </c>
      <c r="C565" s="15" t="s">
        <v>38</v>
      </c>
      <c r="D565" s="15" t="s">
        <v>92</v>
      </c>
      <c r="E565" s="15" t="s">
        <v>93</v>
      </c>
      <c r="F565" s="15" t="s">
        <v>60</v>
      </c>
      <c r="G565" s="15" t="s">
        <v>42</v>
      </c>
      <c r="H565" s="15" t="s">
        <v>84</v>
      </c>
      <c r="I565" s="15" t="s">
        <v>85</v>
      </c>
      <c r="J565" s="15" t="s">
        <v>90</v>
      </c>
      <c r="K565" s="17" t="n">
        <v>484.21</v>
      </c>
      <c r="L565" s="15" t="n">
        <v>20</v>
      </c>
      <c r="M565" s="18" t="n">
        <v>0.15</v>
      </c>
      <c r="N565" s="17" t="n">
        <v>348.67</v>
      </c>
      <c r="O565" s="17" t="n">
        <f aca="false">K565*L565*(1-M565)</f>
        <v>8231.57</v>
      </c>
      <c r="P565" s="17" t="n">
        <f aca="false">N565*L565</f>
        <v>6973.4</v>
      </c>
      <c r="Q565" s="17" t="n">
        <f aca="false">O565-P565</f>
        <v>1258.17</v>
      </c>
      <c r="R565" s="15" t="s">
        <v>46</v>
      </c>
      <c r="S565" s="15" t="s">
        <v>124</v>
      </c>
    </row>
    <row r="566" customFormat="false" ht="15" hidden="false" customHeight="true" outlineLevel="0" collapsed="false">
      <c r="A566" s="11" t="s">
        <v>702</v>
      </c>
      <c r="B566" s="12" t="n">
        <v>45700</v>
      </c>
      <c r="C566" s="11" t="s">
        <v>57</v>
      </c>
      <c r="D566" s="11" t="s">
        <v>162</v>
      </c>
      <c r="E566" s="11" t="s">
        <v>163</v>
      </c>
      <c r="F566" s="11" t="s">
        <v>109</v>
      </c>
      <c r="G566" s="11" t="s">
        <v>126</v>
      </c>
      <c r="H566" s="11" t="s">
        <v>78</v>
      </c>
      <c r="I566" s="11" t="s">
        <v>143</v>
      </c>
      <c r="J566" s="11" t="s">
        <v>158</v>
      </c>
      <c r="K566" s="13" t="n">
        <v>718.52</v>
      </c>
      <c r="L566" s="11" t="n">
        <v>14</v>
      </c>
      <c r="M566" s="14" t="n">
        <v>0.1</v>
      </c>
      <c r="N566" s="13" t="n">
        <v>613.43</v>
      </c>
      <c r="O566" s="13" t="n">
        <f aca="false">K566*L566*(1-M566)</f>
        <v>9053.352</v>
      </c>
      <c r="P566" s="13" t="n">
        <f aca="false">N566*L566</f>
        <v>8588.02</v>
      </c>
      <c r="Q566" s="13" t="n">
        <f aca="false">O566-P566</f>
        <v>465.332</v>
      </c>
      <c r="R566" s="11" t="s">
        <v>167</v>
      </c>
      <c r="S566" s="11" t="s">
        <v>47</v>
      </c>
    </row>
    <row r="567" customFormat="false" ht="15" hidden="false" customHeight="true" outlineLevel="0" collapsed="false">
      <c r="A567" s="15" t="s">
        <v>703</v>
      </c>
      <c r="B567" s="16" t="n">
        <v>45701</v>
      </c>
      <c r="C567" s="15" t="s">
        <v>49</v>
      </c>
      <c r="D567" s="15" t="s">
        <v>97</v>
      </c>
      <c r="E567" s="15" t="s">
        <v>112</v>
      </c>
      <c r="F567" s="15" t="s">
        <v>41</v>
      </c>
      <c r="G567" s="15" t="s">
        <v>130</v>
      </c>
      <c r="H567" s="15" t="s">
        <v>53</v>
      </c>
      <c r="I567" s="15" t="s">
        <v>69</v>
      </c>
      <c r="J567" s="15" t="s">
        <v>128</v>
      </c>
      <c r="K567" s="17" t="n">
        <v>15.69</v>
      </c>
      <c r="L567" s="15" t="n">
        <v>37</v>
      </c>
      <c r="M567" s="18" t="n">
        <v>0.1</v>
      </c>
      <c r="N567" s="17" t="n">
        <v>10.18</v>
      </c>
      <c r="O567" s="17" t="n">
        <f aca="false">K567*L567*(1-M567)</f>
        <v>522.477</v>
      </c>
      <c r="P567" s="17" t="n">
        <f aca="false">N567*L567</f>
        <v>376.66</v>
      </c>
      <c r="Q567" s="17" t="n">
        <f aca="false">O567-P567</f>
        <v>145.817</v>
      </c>
      <c r="R567" s="15" t="s">
        <v>167</v>
      </c>
      <c r="S567" s="15" t="s">
        <v>47</v>
      </c>
    </row>
    <row r="568" customFormat="false" ht="15" hidden="false" customHeight="true" outlineLevel="0" collapsed="false">
      <c r="A568" s="11" t="s">
        <v>704</v>
      </c>
      <c r="B568" s="12" t="n">
        <v>45701</v>
      </c>
      <c r="C568" s="11" t="s">
        <v>49</v>
      </c>
      <c r="D568" s="11" t="s">
        <v>97</v>
      </c>
      <c r="E568" s="11" t="s">
        <v>108</v>
      </c>
      <c r="F568" s="11" t="s">
        <v>135</v>
      </c>
      <c r="G568" s="11" t="s">
        <v>52</v>
      </c>
      <c r="H568" s="11" t="s">
        <v>53</v>
      </c>
      <c r="I568" s="11" t="s">
        <v>54</v>
      </c>
      <c r="J568" s="11" t="s">
        <v>55</v>
      </c>
      <c r="K568" s="13" t="n">
        <v>23.5</v>
      </c>
      <c r="L568" s="11" t="n">
        <v>24</v>
      </c>
      <c r="M568" s="14" t="n">
        <v>0</v>
      </c>
      <c r="N568" s="13" t="n">
        <v>16.31</v>
      </c>
      <c r="O568" s="13" t="n">
        <f aca="false">K568*L568*(1-M568)</f>
        <v>564</v>
      </c>
      <c r="P568" s="13" t="n">
        <f aca="false">N568*L568</f>
        <v>391.44</v>
      </c>
      <c r="Q568" s="13" t="n">
        <f aca="false">O568-P568</f>
        <v>172.56</v>
      </c>
      <c r="R568" s="11" t="s">
        <v>46</v>
      </c>
      <c r="S568" s="11" t="s">
        <v>47</v>
      </c>
    </row>
    <row r="569" customFormat="false" ht="15" hidden="false" customHeight="true" outlineLevel="0" collapsed="false">
      <c r="A569" s="15" t="s">
        <v>705</v>
      </c>
      <c r="B569" s="16" t="n">
        <v>45703</v>
      </c>
      <c r="C569" s="15" t="s">
        <v>49</v>
      </c>
      <c r="D569" s="15" t="s">
        <v>97</v>
      </c>
      <c r="E569" s="15" t="s">
        <v>112</v>
      </c>
      <c r="F569" s="15" t="s">
        <v>123</v>
      </c>
      <c r="G569" s="15" t="s">
        <v>126</v>
      </c>
      <c r="H569" s="15" t="s">
        <v>53</v>
      </c>
      <c r="I569" s="15" t="s">
        <v>69</v>
      </c>
      <c r="J569" s="15" t="s">
        <v>128</v>
      </c>
      <c r="K569" s="17" t="n">
        <v>14.62</v>
      </c>
      <c r="L569" s="15" t="n">
        <v>166</v>
      </c>
      <c r="M569" s="18" t="n">
        <v>0</v>
      </c>
      <c r="N569" s="17" t="n">
        <v>9.75</v>
      </c>
      <c r="O569" s="17" t="n">
        <f aca="false">K569*L569*(1-M569)</f>
        <v>2426.92</v>
      </c>
      <c r="P569" s="17" t="n">
        <f aca="false">N569*L569</f>
        <v>1618.5</v>
      </c>
      <c r="Q569" s="17" t="n">
        <f aca="false">O569-P569</f>
        <v>808.42</v>
      </c>
      <c r="R569" s="15" t="s">
        <v>63</v>
      </c>
      <c r="S569" s="15" t="s">
        <v>72</v>
      </c>
    </row>
    <row r="570" customFormat="false" ht="15" hidden="false" customHeight="true" outlineLevel="0" collapsed="false">
      <c r="A570" s="11" t="s">
        <v>706</v>
      </c>
      <c r="B570" s="12" t="n">
        <v>45703</v>
      </c>
      <c r="C570" s="11" t="s">
        <v>49</v>
      </c>
      <c r="D570" s="11" t="s">
        <v>97</v>
      </c>
      <c r="E570" s="11" t="s">
        <v>112</v>
      </c>
      <c r="F570" s="11" t="s">
        <v>118</v>
      </c>
      <c r="G570" s="11" t="s">
        <v>77</v>
      </c>
      <c r="H570" s="11" t="s">
        <v>43</v>
      </c>
      <c r="I570" s="11" t="s">
        <v>61</v>
      </c>
      <c r="J570" s="11" t="s">
        <v>62</v>
      </c>
      <c r="K570" s="13" t="n">
        <v>313.27</v>
      </c>
      <c r="L570" s="11" t="n">
        <v>18</v>
      </c>
      <c r="M570" s="14" t="n">
        <v>0</v>
      </c>
      <c r="N570" s="13" t="n">
        <v>94.49</v>
      </c>
      <c r="O570" s="13" t="n">
        <f aca="false">K570*L570*(1-M570)</f>
        <v>5638.86</v>
      </c>
      <c r="P570" s="13" t="n">
        <f aca="false">N570*L570</f>
        <v>1700.82</v>
      </c>
      <c r="Q570" s="13" t="n">
        <f aca="false">O570-P570</f>
        <v>3938.04</v>
      </c>
      <c r="R570" s="11" t="s">
        <v>167</v>
      </c>
      <c r="S570" s="11" t="s">
        <v>47</v>
      </c>
    </row>
    <row r="571" customFormat="false" ht="15" hidden="false" customHeight="true" outlineLevel="0" collapsed="false">
      <c r="A571" s="15" t="s">
        <v>707</v>
      </c>
      <c r="B571" s="16" t="n">
        <v>45703</v>
      </c>
      <c r="C571" s="15" t="s">
        <v>49</v>
      </c>
      <c r="D571" s="15" t="s">
        <v>97</v>
      </c>
      <c r="E571" s="15" t="s">
        <v>98</v>
      </c>
      <c r="F571" s="15" t="s">
        <v>177</v>
      </c>
      <c r="G571" s="15" t="s">
        <v>126</v>
      </c>
      <c r="H571" s="15" t="s">
        <v>84</v>
      </c>
      <c r="I571" s="15" t="s">
        <v>100</v>
      </c>
      <c r="J571" s="15" t="s">
        <v>139</v>
      </c>
      <c r="K571" s="17" t="n">
        <v>659.69</v>
      </c>
      <c r="L571" s="15" t="n">
        <v>11</v>
      </c>
      <c r="M571" s="18" t="n">
        <v>0.15</v>
      </c>
      <c r="N571" s="17" t="n">
        <v>513.47</v>
      </c>
      <c r="O571" s="17" t="n">
        <f aca="false">K571*L571*(1-M571)</f>
        <v>6168.1015</v>
      </c>
      <c r="P571" s="17" t="n">
        <f aca="false">N571*L571</f>
        <v>5648.17</v>
      </c>
      <c r="Q571" s="17" t="n">
        <f aca="false">O571-P571</f>
        <v>519.9315</v>
      </c>
      <c r="R571" s="15" t="s">
        <v>63</v>
      </c>
      <c r="S571" s="15" t="s">
        <v>47</v>
      </c>
    </row>
    <row r="572" customFormat="false" ht="15" hidden="false" customHeight="true" outlineLevel="0" collapsed="false">
      <c r="A572" s="11" t="s">
        <v>708</v>
      </c>
      <c r="B572" s="12" t="n">
        <v>45704</v>
      </c>
      <c r="C572" s="11" t="s">
        <v>65</v>
      </c>
      <c r="D572" s="11" t="s">
        <v>149</v>
      </c>
      <c r="E572" s="11" t="s">
        <v>150</v>
      </c>
      <c r="F572" s="11" t="s">
        <v>118</v>
      </c>
      <c r="G572" s="11" t="s">
        <v>52</v>
      </c>
      <c r="H572" s="11" t="s">
        <v>53</v>
      </c>
      <c r="I572" s="11" t="s">
        <v>69</v>
      </c>
      <c r="J572" s="11" t="s">
        <v>128</v>
      </c>
      <c r="K572" s="13" t="n">
        <v>18.11</v>
      </c>
      <c r="L572" s="11" t="n">
        <v>174</v>
      </c>
      <c r="M572" s="14" t="n">
        <v>0.15</v>
      </c>
      <c r="N572" s="13" t="n">
        <v>11.52</v>
      </c>
      <c r="O572" s="13" t="n">
        <f aca="false">K572*L572*(1-M572)</f>
        <v>2678.469</v>
      </c>
      <c r="P572" s="13" t="n">
        <f aca="false">N572*L572</f>
        <v>2004.48</v>
      </c>
      <c r="Q572" s="13" t="n">
        <f aca="false">O572-P572</f>
        <v>673.989</v>
      </c>
      <c r="R572" s="11" t="s">
        <v>114</v>
      </c>
      <c r="S572" s="11" t="s">
        <v>47</v>
      </c>
    </row>
    <row r="573" customFormat="false" ht="15" hidden="false" customHeight="true" outlineLevel="0" collapsed="false">
      <c r="A573" s="15" t="s">
        <v>709</v>
      </c>
      <c r="B573" s="16" t="n">
        <v>45704</v>
      </c>
      <c r="C573" s="15" t="s">
        <v>57</v>
      </c>
      <c r="D573" s="15" t="s">
        <v>162</v>
      </c>
      <c r="E573" s="15" t="s">
        <v>163</v>
      </c>
      <c r="F573" s="15" t="s">
        <v>60</v>
      </c>
      <c r="G573" s="15" t="s">
        <v>42</v>
      </c>
      <c r="H573" s="15" t="s">
        <v>53</v>
      </c>
      <c r="I573" s="15" t="s">
        <v>69</v>
      </c>
      <c r="J573" s="15" t="s">
        <v>70</v>
      </c>
      <c r="K573" s="17" t="n">
        <v>25.65</v>
      </c>
      <c r="L573" s="15" t="n">
        <v>88</v>
      </c>
      <c r="M573" s="18" t="n">
        <v>0.05</v>
      </c>
      <c r="N573" s="17" t="n">
        <v>17.34</v>
      </c>
      <c r="O573" s="17" t="n">
        <f aca="false">K573*L573*(1-M573)</f>
        <v>2144.34</v>
      </c>
      <c r="P573" s="17" t="n">
        <f aca="false">N573*L573</f>
        <v>1525.92</v>
      </c>
      <c r="Q573" s="17" t="n">
        <f aca="false">O573-P573</f>
        <v>618.42</v>
      </c>
      <c r="R573" s="15" t="s">
        <v>46</v>
      </c>
      <c r="S573" s="15" t="s">
        <v>47</v>
      </c>
    </row>
    <row r="574" customFormat="false" ht="15" hidden="false" customHeight="true" outlineLevel="0" collapsed="false">
      <c r="A574" s="11" t="s">
        <v>710</v>
      </c>
      <c r="B574" s="12" t="n">
        <v>45705</v>
      </c>
      <c r="C574" s="11" t="s">
        <v>49</v>
      </c>
      <c r="D574" s="11" t="s">
        <v>97</v>
      </c>
      <c r="E574" s="11" t="s">
        <v>112</v>
      </c>
      <c r="F574" s="11" t="s">
        <v>135</v>
      </c>
      <c r="G574" s="11" t="s">
        <v>77</v>
      </c>
      <c r="H574" s="11" t="s">
        <v>53</v>
      </c>
      <c r="I574" s="11" t="s">
        <v>69</v>
      </c>
      <c r="J574" s="11" t="s">
        <v>128</v>
      </c>
      <c r="K574" s="13" t="n">
        <v>14.93</v>
      </c>
      <c r="L574" s="11" t="n">
        <v>176</v>
      </c>
      <c r="M574" s="14" t="n">
        <v>0.1</v>
      </c>
      <c r="N574" s="13" t="n">
        <v>9.93</v>
      </c>
      <c r="O574" s="13" t="n">
        <f aca="false">K574*L574*(1-M574)</f>
        <v>2364.912</v>
      </c>
      <c r="P574" s="13" t="n">
        <f aca="false">N574*L574</f>
        <v>1747.68</v>
      </c>
      <c r="Q574" s="13" t="n">
        <f aca="false">O574-P574</f>
        <v>617.232</v>
      </c>
      <c r="R574" s="11" t="s">
        <v>114</v>
      </c>
      <c r="S574" s="11" t="s">
        <v>47</v>
      </c>
    </row>
    <row r="575" customFormat="false" ht="15" hidden="false" customHeight="true" outlineLevel="0" collapsed="false">
      <c r="A575" s="15" t="s">
        <v>711</v>
      </c>
      <c r="B575" s="16" t="n">
        <v>45705</v>
      </c>
      <c r="C575" s="15" t="s">
        <v>49</v>
      </c>
      <c r="D575" s="15" t="s">
        <v>50</v>
      </c>
      <c r="E575" s="15" t="s">
        <v>50</v>
      </c>
      <c r="F575" s="15" t="s">
        <v>118</v>
      </c>
      <c r="G575" s="15" t="s">
        <v>126</v>
      </c>
      <c r="H575" s="15" t="s">
        <v>84</v>
      </c>
      <c r="I575" s="15" t="s">
        <v>85</v>
      </c>
      <c r="J575" s="15" t="s">
        <v>86</v>
      </c>
      <c r="K575" s="17" t="n">
        <v>597.32</v>
      </c>
      <c r="L575" s="15" t="n">
        <v>21</v>
      </c>
      <c r="M575" s="18" t="n">
        <v>0</v>
      </c>
      <c r="N575" s="17" t="n">
        <v>429.91</v>
      </c>
      <c r="O575" s="17" t="n">
        <f aca="false">K575*L575*(1-M575)</f>
        <v>12543.72</v>
      </c>
      <c r="P575" s="17" t="n">
        <f aca="false">N575*L575</f>
        <v>9028.11</v>
      </c>
      <c r="Q575" s="17" t="n">
        <f aca="false">O575-P575</f>
        <v>3515.61</v>
      </c>
      <c r="R575" s="15" t="s">
        <v>46</v>
      </c>
      <c r="S575" s="15" t="s">
        <v>47</v>
      </c>
    </row>
    <row r="576" customFormat="false" ht="15" hidden="false" customHeight="true" outlineLevel="0" collapsed="false">
      <c r="A576" s="11" t="s">
        <v>712</v>
      </c>
      <c r="B576" s="12" t="n">
        <v>45705</v>
      </c>
      <c r="C576" s="11" t="s">
        <v>49</v>
      </c>
      <c r="D576" s="11" t="s">
        <v>152</v>
      </c>
      <c r="E576" s="11" t="s">
        <v>152</v>
      </c>
      <c r="F576" s="11" t="s">
        <v>41</v>
      </c>
      <c r="G576" s="11" t="s">
        <v>52</v>
      </c>
      <c r="H576" s="11" t="s">
        <v>78</v>
      </c>
      <c r="I576" s="11" t="s">
        <v>143</v>
      </c>
      <c r="J576" s="11" t="s">
        <v>144</v>
      </c>
      <c r="K576" s="13" t="n">
        <v>1520.3</v>
      </c>
      <c r="L576" s="11" t="n">
        <v>16</v>
      </c>
      <c r="M576" s="14" t="n">
        <v>0.2</v>
      </c>
      <c r="N576" s="13" t="n">
        <v>1269.33</v>
      </c>
      <c r="O576" s="13" t="n">
        <f aca="false">K576*L576*(1-M576)</f>
        <v>19459.84</v>
      </c>
      <c r="P576" s="13" t="n">
        <f aca="false">N576*L576</f>
        <v>20309.28</v>
      </c>
      <c r="Q576" s="13" t="n">
        <f aca="false">O576-P576</f>
        <v>-849.439999999999</v>
      </c>
      <c r="R576" s="11" t="s">
        <v>63</v>
      </c>
      <c r="S576" s="11" t="s">
        <v>47</v>
      </c>
    </row>
    <row r="577" customFormat="false" ht="15" hidden="false" customHeight="true" outlineLevel="0" collapsed="false">
      <c r="A577" s="15" t="s">
        <v>713</v>
      </c>
      <c r="B577" s="16" t="n">
        <v>45706</v>
      </c>
      <c r="C577" s="15" t="s">
        <v>49</v>
      </c>
      <c r="D577" s="15" t="s">
        <v>50</v>
      </c>
      <c r="E577" s="15" t="s">
        <v>50</v>
      </c>
      <c r="F577" s="15" t="s">
        <v>135</v>
      </c>
      <c r="G577" s="15" t="s">
        <v>42</v>
      </c>
      <c r="H577" s="15" t="s">
        <v>84</v>
      </c>
      <c r="I577" s="15" t="s">
        <v>85</v>
      </c>
      <c r="J577" s="15" t="s">
        <v>86</v>
      </c>
      <c r="K577" s="17" t="n">
        <v>604.48</v>
      </c>
      <c r="L577" s="15" t="n">
        <v>22</v>
      </c>
      <c r="M577" s="18" t="n">
        <v>0</v>
      </c>
      <c r="N577" s="17" t="n">
        <v>441.28</v>
      </c>
      <c r="O577" s="17" t="n">
        <f aca="false">K577*L577*(1-M577)</f>
        <v>13298.56</v>
      </c>
      <c r="P577" s="17" t="n">
        <f aca="false">N577*L577</f>
        <v>9708.16</v>
      </c>
      <c r="Q577" s="17" t="n">
        <f aca="false">O577-P577</f>
        <v>3590.4</v>
      </c>
      <c r="R577" s="15" t="s">
        <v>46</v>
      </c>
      <c r="S577" s="15" t="s">
        <v>47</v>
      </c>
    </row>
    <row r="578" customFormat="false" ht="15" hidden="false" customHeight="true" outlineLevel="0" collapsed="false">
      <c r="A578" s="11" t="s">
        <v>714</v>
      </c>
      <c r="B578" s="12" t="n">
        <v>45706</v>
      </c>
      <c r="C578" s="11" t="s">
        <v>65</v>
      </c>
      <c r="D578" s="11" t="s">
        <v>82</v>
      </c>
      <c r="E578" s="11" t="s">
        <v>83</v>
      </c>
      <c r="F578" s="11" t="s">
        <v>68</v>
      </c>
      <c r="G578" s="11" t="s">
        <v>126</v>
      </c>
      <c r="H578" s="11" t="s">
        <v>53</v>
      </c>
      <c r="I578" s="11" t="s">
        <v>69</v>
      </c>
      <c r="J578" s="11" t="s">
        <v>128</v>
      </c>
      <c r="K578" s="13" t="n">
        <v>15.71</v>
      </c>
      <c r="L578" s="11" t="n">
        <v>49</v>
      </c>
      <c r="M578" s="14" t="n">
        <v>0.15</v>
      </c>
      <c r="N578" s="13" t="n">
        <v>11.05</v>
      </c>
      <c r="O578" s="13" t="n">
        <f aca="false">K578*L578*(1-M578)</f>
        <v>654.3215</v>
      </c>
      <c r="P578" s="13" t="n">
        <f aca="false">N578*L578</f>
        <v>541.45</v>
      </c>
      <c r="Q578" s="13" t="n">
        <f aca="false">O578-P578</f>
        <v>112.8715</v>
      </c>
      <c r="R578" s="11" t="s">
        <v>63</v>
      </c>
      <c r="S578" s="11" t="s">
        <v>47</v>
      </c>
    </row>
    <row r="579" customFormat="false" ht="15" hidden="false" customHeight="true" outlineLevel="0" collapsed="false">
      <c r="A579" s="15" t="s">
        <v>715</v>
      </c>
      <c r="B579" s="16" t="n">
        <v>45707</v>
      </c>
      <c r="C579" s="15" t="s">
        <v>65</v>
      </c>
      <c r="D579" s="15" t="s">
        <v>116</v>
      </c>
      <c r="E579" s="15" t="s">
        <v>117</v>
      </c>
      <c r="F579" s="15" t="s">
        <v>109</v>
      </c>
      <c r="G579" s="15" t="s">
        <v>52</v>
      </c>
      <c r="H579" s="15" t="s">
        <v>43</v>
      </c>
      <c r="I579" s="15" t="s">
        <v>61</v>
      </c>
      <c r="J579" s="15" t="s">
        <v>62</v>
      </c>
      <c r="K579" s="17" t="n">
        <v>347.62</v>
      </c>
      <c r="L579" s="15" t="n">
        <v>29</v>
      </c>
      <c r="M579" s="18" t="n">
        <v>0.15</v>
      </c>
      <c r="N579" s="17" t="n">
        <v>146.27</v>
      </c>
      <c r="O579" s="17" t="n">
        <f aca="false">K579*L579*(1-M579)</f>
        <v>8568.833</v>
      </c>
      <c r="P579" s="17" t="n">
        <f aca="false">N579*L579</f>
        <v>4241.83</v>
      </c>
      <c r="Q579" s="17" t="n">
        <f aca="false">O579-P579</f>
        <v>4327.003</v>
      </c>
      <c r="R579" s="15" t="s">
        <v>71</v>
      </c>
      <c r="S579" s="15" t="s">
        <v>47</v>
      </c>
    </row>
    <row r="580" customFormat="false" ht="15" hidden="false" customHeight="true" outlineLevel="0" collapsed="false">
      <c r="A580" s="11" t="s">
        <v>716</v>
      </c>
      <c r="B580" s="12" t="n">
        <v>45707</v>
      </c>
      <c r="C580" s="11" t="s">
        <v>49</v>
      </c>
      <c r="D580" s="11" t="s">
        <v>152</v>
      </c>
      <c r="E580" s="11" t="s">
        <v>152</v>
      </c>
      <c r="F580" s="11" t="s">
        <v>68</v>
      </c>
      <c r="G580" s="11" t="s">
        <v>77</v>
      </c>
      <c r="H580" s="11" t="s">
        <v>43</v>
      </c>
      <c r="I580" s="11" t="s">
        <v>44</v>
      </c>
      <c r="J580" s="11" t="s">
        <v>45</v>
      </c>
      <c r="K580" s="13" t="n">
        <v>286.59</v>
      </c>
      <c r="L580" s="11" t="n">
        <v>29</v>
      </c>
      <c r="M580" s="14" t="n">
        <v>0.15</v>
      </c>
      <c r="N580" s="13" t="n">
        <v>111.49</v>
      </c>
      <c r="O580" s="13" t="n">
        <f aca="false">K580*L580*(1-M580)</f>
        <v>7064.4435</v>
      </c>
      <c r="P580" s="13" t="n">
        <f aca="false">N580*L580</f>
        <v>3233.21</v>
      </c>
      <c r="Q580" s="13" t="n">
        <f aca="false">O580-P580</f>
        <v>3831.2335</v>
      </c>
      <c r="R580" s="11" t="s">
        <v>46</v>
      </c>
      <c r="S580" s="11" t="s">
        <v>47</v>
      </c>
    </row>
    <row r="581" customFormat="false" ht="15" hidden="false" customHeight="true" outlineLevel="0" collapsed="false">
      <c r="A581" s="15" t="s">
        <v>717</v>
      </c>
      <c r="B581" s="16" t="n">
        <v>45708</v>
      </c>
      <c r="C581" s="15" t="s">
        <v>49</v>
      </c>
      <c r="D581" s="15" t="s">
        <v>152</v>
      </c>
      <c r="E581" s="15" t="s">
        <v>152</v>
      </c>
      <c r="F581" s="15" t="s">
        <v>123</v>
      </c>
      <c r="G581" s="15" t="s">
        <v>42</v>
      </c>
      <c r="H581" s="15" t="s">
        <v>53</v>
      </c>
      <c r="I581" s="15" t="s">
        <v>54</v>
      </c>
      <c r="J581" s="15" t="s">
        <v>55</v>
      </c>
      <c r="K581" s="17" t="n">
        <v>21.47</v>
      </c>
      <c r="L581" s="15" t="n">
        <v>175</v>
      </c>
      <c r="M581" s="18" t="n">
        <v>0</v>
      </c>
      <c r="N581" s="17" t="n">
        <v>13.66</v>
      </c>
      <c r="O581" s="17" t="n">
        <f aca="false">K581*L581*(1-M581)</f>
        <v>3757.25</v>
      </c>
      <c r="P581" s="17" t="n">
        <f aca="false">N581*L581</f>
        <v>2390.5</v>
      </c>
      <c r="Q581" s="17" t="n">
        <f aca="false">O581-P581</f>
        <v>1366.75</v>
      </c>
      <c r="R581" s="15" t="s">
        <v>46</v>
      </c>
      <c r="S581" s="15" t="s">
        <v>72</v>
      </c>
    </row>
    <row r="582" customFormat="false" ht="15" hidden="false" customHeight="true" outlineLevel="0" collapsed="false">
      <c r="A582" s="11" t="s">
        <v>718</v>
      </c>
      <c r="B582" s="12" t="n">
        <v>45708</v>
      </c>
      <c r="C582" s="11" t="s">
        <v>49</v>
      </c>
      <c r="D582" s="11" t="s">
        <v>97</v>
      </c>
      <c r="E582" s="11" t="s">
        <v>112</v>
      </c>
      <c r="F582" s="11" t="s">
        <v>99</v>
      </c>
      <c r="G582" s="11" t="s">
        <v>52</v>
      </c>
      <c r="H582" s="11" t="s">
        <v>43</v>
      </c>
      <c r="I582" s="11" t="s">
        <v>44</v>
      </c>
      <c r="J582" s="11" t="s">
        <v>106</v>
      </c>
      <c r="K582" s="13" t="n">
        <v>484.15</v>
      </c>
      <c r="L582" s="11" t="n">
        <v>42</v>
      </c>
      <c r="M582" s="14" t="n">
        <v>0.1</v>
      </c>
      <c r="N582" s="13" t="n">
        <v>160.63</v>
      </c>
      <c r="O582" s="13" t="n">
        <f aca="false">K582*L582*(1-M582)</f>
        <v>18300.87</v>
      </c>
      <c r="P582" s="13" t="n">
        <f aca="false">N582*L582</f>
        <v>6746.46</v>
      </c>
      <c r="Q582" s="13" t="n">
        <f aca="false">O582-P582</f>
        <v>11554.41</v>
      </c>
      <c r="R582" s="11" t="s">
        <v>63</v>
      </c>
      <c r="S582" s="11" t="s">
        <v>47</v>
      </c>
    </row>
    <row r="583" customFormat="false" ht="15" hidden="false" customHeight="true" outlineLevel="0" collapsed="false">
      <c r="A583" s="15" t="s">
        <v>719</v>
      </c>
      <c r="B583" s="16" t="n">
        <v>45708</v>
      </c>
      <c r="C583" s="15" t="s">
        <v>38</v>
      </c>
      <c r="D583" s="15" t="s">
        <v>92</v>
      </c>
      <c r="E583" s="15" t="s">
        <v>93</v>
      </c>
      <c r="F583" s="15" t="s">
        <v>60</v>
      </c>
      <c r="G583" s="15" t="s">
        <v>42</v>
      </c>
      <c r="H583" s="15" t="s">
        <v>84</v>
      </c>
      <c r="I583" s="15" t="s">
        <v>85</v>
      </c>
      <c r="J583" s="15" t="s">
        <v>90</v>
      </c>
      <c r="K583" s="17" t="n">
        <v>362.54</v>
      </c>
      <c r="L583" s="15" t="n">
        <v>14</v>
      </c>
      <c r="M583" s="18" t="n">
        <v>0.05</v>
      </c>
      <c r="N583" s="17" t="n">
        <v>265.24</v>
      </c>
      <c r="O583" s="17" t="n">
        <f aca="false">K583*L583*(1-M583)</f>
        <v>4821.782</v>
      </c>
      <c r="P583" s="17" t="n">
        <f aca="false">N583*L583</f>
        <v>3713.36</v>
      </c>
      <c r="Q583" s="17" t="n">
        <f aca="false">O583-P583</f>
        <v>1108.422</v>
      </c>
      <c r="R583" s="15" t="s">
        <v>63</v>
      </c>
      <c r="S583" s="15" t="s">
        <v>47</v>
      </c>
    </row>
    <row r="584" customFormat="false" ht="15" hidden="false" customHeight="true" outlineLevel="0" collapsed="false">
      <c r="A584" s="11" t="s">
        <v>720</v>
      </c>
      <c r="B584" s="12" t="n">
        <v>45709</v>
      </c>
      <c r="C584" s="11" t="s">
        <v>74</v>
      </c>
      <c r="D584" s="11" t="s">
        <v>171</v>
      </c>
      <c r="E584" s="11" t="s">
        <v>172</v>
      </c>
      <c r="F584" s="11" t="s">
        <v>60</v>
      </c>
      <c r="G584" s="11" t="s">
        <v>130</v>
      </c>
      <c r="H584" s="11" t="s">
        <v>84</v>
      </c>
      <c r="I584" s="11" t="s">
        <v>136</v>
      </c>
      <c r="J584" s="11" t="s">
        <v>137</v>
      </c>
      <c r="K584" s="13" t="n">
        <v>403.84</v>
      </c>
      <c r="L584" s="11" t="n">
        <v>20</v>
      </c>
      <c r="M584" s="14" t="n">
        <v>0.05</v>
      </c>
      <c r="N584" s="13" t="n">
        <v>293.73</v>
      </c>
      <c r="O584" s="13" t="n">
        <f aca="false">K584*L584*(1-M584)</f>
        <v>7672.96</v>
      </c>
      <c r="P584" s="13" t="n">
        <f aca="false">N584*L584</f>
        <v>5874.6</v>
      </c>
      <c r="Q584" s="13" t="n">
        <f aca="false">O584-P584</f>
        <v>1798.36</v>
      </c>
      <c r="R584" s="11" t="s">
        <v>167</v>
      </c>
      <c r="S584" s="11" t="s">
        <v>124</v>
      </c>
    </row>
    <row r="585" customFormat="false" ht="15" hidden="false" customHeight="true" outlineLevel="0" collapsed="false">
      <c r="A585" s="15" t="s">
        <v>721</v>
      </c>
      <c r="B585" s="16" t="n">
        <v>45709</v>
      </c>
      <c r="C585" s="15" t="s">
        <v>49</v>
      </c>
      <c r="D585" s="15" t="s">
        <v>50</v>
      </c>
      <c r="E585" s="15" t="s">
        <v>50</v>
      </c>
      <c r="F585" s="15" t="s">
        <v>177</v>
      </c>
      <c r="G585" s="15" t="s">
        <v>52</v>
      </c>
      <c r="H585" s="15" t="s">
        <v>78</v>
      </c>
      <c r="I585" s="15" t="s">
        <v>154</v>
      </c>
      <c r="J585" s="15" t="s">
        <v>186</v>
      </c>
      <c r="K585" s="17" t="n">
        <v>546.33</v>
      </c>
      <c r="L585" s="15" t="n">
        <v>3</v>
      </c>
      <c r="M585" s="18" t="n">
        <v>0</v>
      </c>
      <c r="N585" s="17" t="n">
        <v>446.93</v>
      </c>
      <c r="O585" s="17" t="n">
        <f aca="false">K585*L585*(1-M585)</f>
        <v>1638.99</v>
      </c>
      <c r="P585" s="17" t="n">
        <f aca="false">N585*L585</f>
        <v>1340.79</v>
      </c>
      <c r="Q585" s="17" t="n">
        <f aca="false">O585-P585</f>
        <v>298.2</v>
      </c>
      <c r="R585" s="15" t="s">
        <v>71</v>
      </c>
      <c r="S585" s="15" t="s">
        <v>72</v>
      </c>
    </row>
    <row r="586" customFormat="false" ht="15" hidden="false" customHeight="true" outlineLevel="0" collapsed="false">
      <c r="A586" s="11" t="s">
        <v>722</v>
      </c>
      <c r="B586" s="12" t="n">
        <v>45710</v>
      </c>
      <c r="C586" s="11" t="s">
        <v>38</v>
      </c>
      <c r="D586" s="11" t="s">
        <v>92</v>
      </c>
      <c r="E586" s="11" t="s">
        <v>93</v>
      </c>
      <c r="F586" s="11" t="s">
        <v>123</v>
      </c>
      <c r="G586" s="11" t="s">
        <v>42</v>
      </c>
      <c r="H586" s="11" t="s">
        <v>84</v>
      </c>
      <c r="I586" s="11" t="s">
        <v>100</v>
      </c>
      <c r="J586" s="11" t="s">
        <v>139</v>
      </c>
      <c r="K586" s="13" t="n">
        <v>797.28</v>
      </c>
      <c r="L586" s="11" t="n">
        <v>2</v>
      </c>
      <c r="M586" s="14" t="n">
        <v>0</v>
      </c>
      <c r="N586" s="13" t="n">
        <v>632.1</v>
      </c>
      <c r="O586" s="13" t="n">
        <f aca="false">K586*L586*(1-M586)</f>
        <v>1594.56</v>
      </c>
      <c r="P586" s="13" t="n">
        <f aca="false">N586*L586</f>
        <v>1264.2</v>
      </c>
      <c r="Q586" s="13" t="n">
        <f aca="false">O586-P586</f>
        <v>330.36</v>
      </c>
      <c r="R586" s="11" t="s">
        <v>46</v>
      </c>
      <c r="S586" s="11" t="s">
        <v>72</v>
      </c>
    </row>
    <row r="587" customFormat="false" ht="15" hidden="false" customHeight="true" outlineLevel="0" collapsed="false">
      <c r="A587" s="15" t="s">
        <v>723</v>
      </c>
      <c r="B587" s="16" t="n">
        <v>45711</v>
      </c>
      <c r="C587" s="15" t="s">
        <v>65</v>
      </c>
      <c r="D587" s="15" t="s">
        <v>149</v>
      </c>
      <c r="E587" s="15" t="s">
        <v>150</v>
      </c>
      <c r="F587" s="15" t="s">
        <v>123</v>
      </c>
      <c r="G587" s="15" t="s">
        <v>52</v>
      </c>
      <c r="H587" s="15" t="s">
        <v>84</v>
      </c>
      <c r="I587" s="15" t="s">
        <v>85</v>
      </c>
      <c r="J587" s="15" t="s">
        <v>86</v>
      </c>
      <c r="K587" s="17" t="n">
        <v>299.5</v>
      </c>
      <c r="L587" s="15" t="n">
        <v>17</v>
      </c>
      <c r="M587" s="18" t="n">
        <v>0.2</v>
      </c>
      <c r="N587" s="17" t="n">
        <v>222.22</v>
      </c>
      <c r="O587" s="17" t="n">
        <f aca="false">K587*L587*(1-M587)</f>
        <v>4073.2</v>
      </c>
      <c r="P587" s="17" t="n">
        <f aca="false">N587*L587</f>
        <v>3777.74</v>
      </c>
      <c r="Q587" s="17" t="n">
        <f aca="false">O587-P587</f>
        <v>295.460000000001</v>
      </c>
      <c r="R587" s="15" t="s">
        <v>71</v>
      </c>
      <c r="S587" s="15" t="s">
        <v>124</v>
      </c>
    </row>
    <row r="588" customFormat="false" ht="15" hidden="false" customHeight="true" outlineLevel="0" collapsed="false">
      <c r="A588" s="11" t="s">
        <v>724</v>
      </c>
      <c r="B588" s="12" t="n">
        <v>45712</v>
      </c>
      <c r="C588" s="11" t="s">
        <v>38</v>
      </c>
      <c r="D588" s="11" t="s">
        <v>88</v>
      </c>
      <c r="E588" s="11" t="s">
        <v>89</v>
      </c>
      <c r="F588" s="11" t="s">
        <v>109</v>
      </c>
      <c r="G588" s="11" t="s">
        <v>42</v>
      </c>
      <c r="H588" s="11" t="s">
        <v>84</v>
      </c>
      <c r="I588" s="11" t="s">
        <v>85</v>
      </c>
      <c r="J588" s="11" t="s">
        <v>90</v>
      </c>
      <c r="K588" s="13" t="n">
        <v>577.76</v>
      </c>
      <c r="L588" s="11" t="n">
        <v>2</v>
      </c>
      <c r="M588" s="14" t="n">
        <v>0</v>
      </c>
      <c r="N588" s="13" t="n">
        <v>460.21</v>
      </c>
      <c r="O588" s="13" t="n">
        <f aca="false">K588*L588*(1-M588)</f>
        <v>1155.52</v>
      </c>
      <c r="P588" s="13" t="n">
        <f aca="false">N588*L588</f>
        <v>920.42</v>
      </c>
      <c r="Q588" s="13" t="n">
        <f aca="false">O588-P588</f>
        <v>235.1</v>
      </c>
      <c r="R588" s="11" t="s">
        <v>46</v>
      </c>
      <c r="S588" s="11" t="s">
        <v>47</v>
      </c>
    </row>
    <row r="589" customFormat="false" ht="15" hidden="false" customHeight="true" outlineLevel="0" collapsed="false">
      <c r="A589" s="15" t="s">
        <v>725</v>
      </c>
      <c r="B589" s="16" t="n">
        <v>45712</v>
      </c>
      <c r="C589" s="15" t="s">
        <v>65</v>
      </c>
      <c r="D589" s="15" t="s">
        <v>149</v>
      </c>
      <c r="E589" s="15" t="s">
        <v>150</v>
      </c>
      <c r="F589" s="15" t="s">
        <v>60</v>
      </c>
      <c r="G589" s="15" t="s">
        <v>42</v>
      </c>
      <c r="H589" s="15" t="s">
        <v>84</v>
      </c>
      <c r="I589" s="15" t="s">
        <v>85</v>
      </c>
      <c r="J589" s="15" t="s">
        <v>90</v>
      </c>
      <c r="K589" s="17" t="n">
        <v>503.02</v>
      </c>
      <c r="L589" s="15" t="n">
        <v>1</v>
      </c>
      <c r="M589" s="18" t="n">
        <v>0.05</v>
      </c>
      <c r="N589" s="17" t="n">
        <v>368.62</v>
      </c>
      <c r="O589" s="17" t="n">
        <f aca="false">K589*L589*(1-M589)</f>
        <v>477.869</v>
      </c>
      <c r="P589" s="17" t="n">
        <f aca="false">N589*L589</f>
        <v>368.62</v>
      </c>
      <c r="Q589" s="17" t="n">
        <f aca="false">O589-P589</f>
        <v>109.249</v>
      </c>
      <c r="R589" s="15" t="s">
        <v>46</v>
      </c>
      <c r="S589" s="15" t="s">
        <v>47</v>
      </c>
    </row>
    <row r="590" customFormat="false" ht="15" hidden="false" customHeight="true" outlineLevel="0" collapsed="false">
      <c r="A590" s="11" t="s">
        <v>726</v>
      </c>
      <c r="B590" s="12" t="n">
        <v>45714</v>
      </c>
      <c r="C590" s="11" t="s">
        <v>49</v>
      </c>
      <c r="D590" s="11" t="s">
        <v>152</v>
      </c>
      <c r="E590" s="11" t="s">
        <v>152</v>
      </c>
      <c r="F590" s="11" t="s">
        <v>177</v>
      </c>
      <c r="G590" s="11" t="s">
        <v>52</v>
      </c>
      <c r="H590" s="11" t="s">
        <v>53</v>
      </c>
      <c r="I590" s="11" t="s">
        <v>94</v>
      </c>
      <c r="J590" s="11" t="s">
        <v>95</v>
      </c>
      <c r="K590" s="13" t="n">
        <v>31.15</v>
      </c>
      <c r="L590" s="11" t="n">
        <v>16</v>
      </c>
      <c r="M590" s="14" t="n">
        <v>0.1</v>
      </c>
      <c r="N590" s="13" t="n">
        <v>19.23</v>
      </c>
      <c r="O590" s="13" t="n">
        <f aca="false">K590*L590*(1-M590)</f>
        <v>448.56</v>
      </c>
      <c r="P590" s="13" t="n">
        <f aca="false">N590*L590</f>
        <v>307.68</v>
      </c>
      <c r="Q590" s="13" t="n">
        <f aca="false">O590-P590</f>
        <v>140.88</v>
      </c>
      <c r="R590" s="11" t="s">
        <v>46</v>
      </c>
      <c r="S590" s="11" t="s">
        <v>187</v>
      </c>
    </row>
    <row r="591" customFormat="false" ht="15" hidden="false" customHeight="true" outlineLevel="0" collapsed="false">
      <c r="A591" s="15" t="s">
        <v>727</v>
      </c>
      <c r="B591" s="16" t="n">
        <v>45715</v>
      </c>
      <c r="C591" s="15" t="s">
        <v>57</v>
      </c>
      <c r="D591" s="15" t="s">
        <v>103</v>
      </c>
      <c r="E591" s="15" t="s">
        <v>104</v>
      </c>
      <c r="F591" s="15" t="s">
        <v>51</v>
      </c>
      <c r="G591" s="15" t="s">
        <v>52</v>
      </c>
      <c r="H591" s="15" t="s">
        <v>53</v>
      </c>
      <c r="I591" s="15" t="s">
        <v>54</v>
      </c>
      <c r="J591" s="15" t="s">
        <v>113</v>
      </c>
      <c r="K591" s="17" t="n">
        <v>15.9</v>
      </c>
      <c r="L591" s="15" t="n">
        <v>58</v>
      </c>
      <c r="M591" s="18" t="n">
        <v>0</v>
      </c>
      <c r="N591" s="17" t="n">
        <v>10.07</v>
      </c>
      <c r="O591" s="17" t="n">
        <f aca="false">K591*L591*(1-M591)</f>
        <v>922.2</v>
      </c>
      <c r="P591" s="17" t="n">
        <f aca="false">N591*L591</f>
        <v>584.06</v>
      </c>
      <c r="Q591" s="17" t="n">
        <f aca="false">O591-P591</f>
        <v>338.14</v>
      </c>
      <c r="R591" s="15" t="s">
        <v>167</v>
      </c>
      <c r="S591" s="15" t="s">
        <v>47</v>
      </c>
    </row>
    <row r="592" customFormat="false" ht="15" hidden="false" customHeight="true" outlineLevel="0" collapsed="false">
      <c r="A592" s="11" t="s">
        <v>728</v>
      </c>
      <c r="B592" s="12" t="n">
        <v>45715</v>
      </c>
      <c r="C592" s="11" t="s">
        <v>65</v>
      </c>
      <c r="D592" s="11" t="s">
        <v>116</v>
      </c>
      <c r="E592" s="11" t="s">
        <v>117</v>
      </c>
      <c r="F592" s="11" t="s">
        <v>123</v>
      </c>
      <c r="G592" s="11" t="s">
        <v>42</v>
      </c>
      <c r="H592" s="11" t="s">
        <v>53</v>
      </c>
      <c r="I592" s="11" t="s">
        <v>94</v>
      </c>
      <c r="J592" s="11" t="s">
        <v>131</v>
      </c>
      <c r="K592" s="13" t="n">
        <v>47.55</v>
      </c>
      <c r="L592" s="11" t="n">
        <v>55</v>
      </c>
      <c r="M592" s="14" t="n">
        <v>0.1</v>
      </c>
      <c r="N592" s="13" t="n">
        <v>32.25</v>
      </c>
      <c r="O592" s="13" t="n">
        <f aca="false">K592*L592*(1-M592)</f>
        <v>2353.725</v>
      </c>
      <c r="P592" s="13" t="n">
        <f aca="false">N592*L592</f>
        <v>1773.75</v>
      </c>
      <c r="Q592" s="13" t="n">
        <f aca="false">O592-P592</f>
        <v>579.975</v>
      </c>
      <c r="R592" s="11" t="s">
        <v>114</v>
      </c>
      <c r="S592" s="11" t="s">
        <v>47</v>
      </c>
    </row>
    <row r="593" customFormat="false" ht="15" hidden="false" customHeight="true" outlineLevel="0" collapsed="false">
      <c r="A593" s="15" t="s">
        <v>729</v>
      </c>
      <c r="B593" s="16" t="n">
        <v>45715</v>
      </c>
      <c r="C593" s="15" t="s">
        <v>38</v>
      </c>
      <c r="D593" s="15" t="s">
        <v>88</v>
      </c>
      <c r="E593" s="15" t="s">
        <v>89</v>
      </c>
      <c r="F593" s="15" t="s">
        <v>177</v>
      </c>
      <c r="G593" s="15" t="s">
        <v>52</v>
      </c>
      <c r="H593" s="15" t="s">
        <v>53</v>
      </c>
      <c r="I593" s="15" t="s">
        <v>94</v>
      </c>
      <c r="J593" s="15" t="s">
        <v>131</v>
      </c>
      <c r="K593" s="17" t="n">
        <v>32.62</v>
      </c>
      <c r="L593" s="15" t="n">
        <v>98</v>
      </c>
      <c r="M593" s="18" t="n">
        <v>0.05</v>
      </c>
      <c r="N593" s="17" t="n">
        <v>18.39</v>
      </c>
      <c r="O593" s="17" t="n">
        <f aca="false">K593*L593*(1-M593)</f>
        <v>3036.922</v>
      </c>
      <c r="P593" s="17" t="n">
        <f aca="false">N593*L593</f>
        <v>1802.22</v>
      </c>
      <c r="Q593" s="17" t="n">
        <f aca="false">O593-P593</f>
        <v>1234.702</v>
      </c>
      <c r="R593" s="15" t="s">
        <v>114</v>
      </c>
      <c r="S593" s="15" t="s">
        <v>47</v>
      </c>
    </row>
    <row r="594" customFormat="false" ht="15" hidden="false" customHeight="true" outlineLevel="0" collapsed="false">
      <c r="A594" s="11" t="s">
        <v>730</v>
      </c>
      <c r="B594" s="12" t="n">
        <v>45716</v>
      </c>
      <c r="C594" s="11" t="s">
        <v>65</v>
      </c>
      <c r="D594" s="11" t="s">
        <v>116</v>
      </c>
      <c r="E594" s="11" t="s">
        <v>117</v>
      </c>
      <c r="F594" s="11" t="s">
        <v>109</v>
      </c>
      <c r="G594" s="11" t="s">
        <v>130</v>
      </c>
      <c r="H594" s="11" t="s">
        <v>53</v>
      </c>
      <c r="I594" s="11" t="s">
        <v>69</v>
      </c>
      <c r="J594" s="11" t="s">
        <v>70</v>
      </c>
      <c r="K594" s="13" t="n">
        <v>33.17</v>
      </c>
      <c r="L594" s="11" t="n">
        <v>93</v>
      </c>
      <c r="M594" s="14" t="n">
        <v>0.1</v>
      </c>
      <c r="N594" s="13" t="n">
        <v>21.11</v>
      </c>
      <c r="O594" s="13" t="n">
        <f aca="false">K594*L594*(1-M594)</f>
        <v>2776.329</v>
      </c>
      <c r="P594" s="13" t="n">
        <f aca="false">N594*L594</f>
        <v>1963.23</v>
      </c>
      <c r="Q594" s="13" t="n">
        <f aca="false">O594-P594</f>
        <v>813.099</v>
      </c>
      <c r="R594" s="11" t="s">
        <v>46</v>
      </c>
      <c r="S594" s="11" t="s">
        <v>72</v>
      </c>
    </row>
    <row r="595" customFormat="false" ht="15" hidden="false" customHeight="true" outlineLevel="0" collapsed="false">
      <c r="A595" s="15" t="s">
        <v>731</v>
      </c>
      <c r="B595" s="16" t="n">
        <v>45716</v>
      </c>
      <c r="C595" s="15" t="s">
        <v>38</v>
      </c>
      <c r="D595" s="15" t="s">
        <v>39</v>
      </c>
      <c r="E595" s="15" t="s">
        <v>40</v>
      </c>
      <c r="F595" s="15" t="s">
        <v>177</v>
      </c>
      <c r="G595" s="15" t="s">
        <v>42</v>
      </c>
      <c r="H595" s="15" t="s">
        <v>78</v>
      </c>
      <c r="I595" s="15" t="s">
        <v>120</v>
      </c>
      <c r="J595" s="15" t="s">
        <v>121</v>
      </c>
      <c r="K595" s="17" t="n">
        <v>400.32</v>
      </c>
      <c r="L595" s="15" t="n">
        <v>61</v>
      </c>
      <c r="M595" s="18" t="n">
        <v>0.2</v>
      </c>
      <c r="N595" s="17" t="n">
        <v>305.02</v>
      </c>
      <c r="O595" s="17" t="n">
        <f aca="false">K595*L595*(1-M595)</f>
        <v>19535.616</v>
      </c>
      <c r="P595" s="17" t="n">
        <f aca="false">N595*L595</f>
        <v>18606.22</v>
      </c>
      <c r="Q595" s="17" t="n">
        <f aca="false">O595-P595</f>
        <v>929.396000000004</v>
      </c>
      <c r="R595" s="15" t="s">
        <v>114</v>
      </c>
      <c r="S595" s="15" t="s">
        <v>187</v>
      </c>
    </row>
    <row r="596" customFormat="false" ht="15" hidden="false" customHeight="true" outlineLevel="0" collapsed="false">
      <c r="A596" s="11" t="s">
        <v>732</v>
      </c>
      <c r="B596" s="12" t="n">
        <v>45716</v>
      </c>
      <c r="C596" s="11" t="s">
        <v>49</v>
      </c>
      <c r="D596" s="11" t="s">
        <v>97</v>
      </c>
      <c r="E596" s="11" t="s">
        <v>98</v>
      </c>
      <c r="F596" s="11" t="s">
        <v>177</v>
      </c>
      <c r="G596" s="11" t="s">
        <v>126</v>
      </c>
      <c r="H596" s="11" t="s">
        <v>53</v>
      </c>
      <c r="I596" s="11" t="s">
        <v>94</v>
      </c>
      <c r="J596" s="11" t="s">
        <v>95</v>
      </c>
      <c r="K596" s="13" t="n">
        <v>41.02</v>
      </c>
      <c r="L596" s="11" t="n">
        <v>60</v>
      </c>
      <c r="M596" s="14" t="n">
        <v>0</v>
      </c>
      <c r="N596" s="13" t="n">
        <v>28.55</v>
      </c>
      <c r="O596" s="13" t="n">
        <f aca="false">K596*L596*(1-M596)</f>
        <v>2461.2</v>
      </c>
      <c r="P596" s="13" t="n">
        <f aca="false">N596*L596</f>
        <v>1713</v>
      </c>
      <c r="Q596" s="13" t="n">
        <f aca="false">O596-P596</f>
        <v>748.2</v>
      </c>
      <c r="R596" s="11" t="s">
        <v>46</v>
      </c>
      <c r="S596" s="11" t="s">
        <v>47</v>
      </c>
    </row>
    <row r="597" customFormat="false" ht="15" hidden="false" customHeight="true" outlineLevel="0" collapsed="false">
      <c r="A597" s="15" t="s">
        <v>733</v>
      </c>
      <c r="B597" s="16" t="n">
        <v>45717</v>
      </c>
      <c r="C597" s="15" t="s">
        <v>49</v>
      </c>
      <c r="D597" s="15" t="s">
        <v>50</v>
      </c>
      <c r="E597" s="15" t="s">
        <v>50</v>
      </c>
      <c r="F597" s="15" t="s">
        <v>51</v>
      </c>
      <c r="G597" s="15" t="s">
        <v>42</v>
      </c>
      <c r="H597" s="15" t="s">
        <v>84</v>
      </c>
      <c r="I597" s="15" t="s">
        <v>85</v>
      </c>
      <c r="J597" s="15" t="s">
        <v>86</v>
      </c>
      <c r="K597" s="17" t="n">
        <v>630.64</v>
      </c>
      <c r="L597" s="15" t="n">
        <v>5</v>
      </c>
      <c r="M597" s="18" t="n">
        <v>0.1</v>
      </c>
      <c r="N597" s="17" t="n">
        <v>473.92</v>
      </c>
      <c r="O597" s="17" t="n">
        <f aca="false">K597*L597*(1-M597)</f>
        <v>2837.88</v>
      </c>
      <c r="P597" s="17" t="n">
        <f aca="false">N597*L597</f>
        <v>2369.6</v>
      </c>
      <c r="Q597" s="17" t="n">
        <f aca="false">O597-P597</f>
        <v>468.28</v>
      </c>
      <c r="R597" s="15" t="s">
        <v>46</v>
      </c>
      <c r="S597" s="15" t="s">
        <v>47</v>
      </c>
    </row>
    <row r="598" customFormat="false" ht="15" hidden="false" customHeight="true" outlineLevel="0" collapsed="false">
      <c r="A598" s="11" t="s">
        <v>734</v>
      </c>
      <c r="B598" s="12" t="n">
        <v>45717</v>
      </c>
      <c r="C598" s="11" t="s">
        <v>38</v>
      </c>
      <c r="D598" s="11" t="s">
        <v>88</v>
      </c>
      <c r="E598" s="11" t="s">
        <v>89</v>
      </c>
      <c r="F598" s="11" t="s">
        <v>123</v>
      </c>
      <c r="G598" s="11" t="s">
        <v>77</v>
      </c>
      <c r="H598" s="11" t="s">
        <v>84</v>
      </c>
      <c r="I598" s="11" t="s">
        <v>100</v>
      </c>
      <c r="J598" s="11" t="s">
        <v>101</v>
      </c>
      <c r="K598" s="13" t="n">
        <v>1216.87</v>
      </c>
      <c r="L598" s="11" t="n">
        <v>3</v>
      </c>
      <c r="M598" s="14" t="n">
        <v>0.05</v>
      </c>
      <c r="N598" s="13" t="n">
        <v>955.76</v>
      </c>
      <c r="O598" s="13" t="n">
        <f aca="false">K598*L598*(1-M598)</f>
        <v>3468.0795</v>
      </c>
      <c r="P598" s="13" t="n">
        <f aca="false">N598*L598</f>
        <v>2867.28</v>
      </c>
      <c r="Q598" s="13" t="n">
        <f aca="false">O598-P598</f>
        <v>600.7995</v>
      </c>
      <c r="R598" s="11" t="s">
        <v>114</v>
      </c>
      <c r="S598" s="11" t="s">
        <v>47</v>
      </c>
    </row>
    <row r="599" customFormat="false" ht="15" hidden="false" customHeight="true" outlineLevel="0" collapsed="false">
      <c r="A599" s="15" t="s">
        <v>735</v>
      </c>
      <c r="B599" s="16" t="n">
        <v>45717</v>
      </c>
      <c r="C599" s="15" t="s">
        <v>57</v>
      </c>
      <c r="D599" s="15" t="s">
        <v>58</v>
      </c>
      <c r="E599" s="15" t="s">
        <v>59</v>
      </c>
      <c r="F599" s="15" t="s">
        <v>177</v>
      </c>
      <c r="G599" s="15" t="s">
        <v>77</v>
      </c>
      <c r="H599" s="15" t="s">
        <v>53</v>
      </c>
      <c r="I599" s="15" t="s">
        <v>54</v>
      </c>
      <c r="J599" s="15" t="s">
        <v>113</v>
      </c>
      <c r="K599" s="17" t="n">
        <v>28.78</v>
      </c>
      <c r="L599" s="15" t="n">
        <v>38</v>
      </c>
      <c r="M599" s="18" t="n">
        <v>0</v>
      </c>
      <c r="N599" s="17" t="n">
        <v>17.12</v>
      </c>
      <c r="O599" s="17" t="n">
        <f aca="false">K599*L599*(1-M599)</f>
        <v>1093.64</v>
      </c>
      <c r="P599" s="17" t="n">
        <f aca="false">N599*L599</f>
        <v>650.56</v>
      </c>
      <c r="Q599" s="17" t="n">
        <f aca="false">O599-P599</f>
        <v>443.08</v>
      </c>
      <c r="R599" s="15" t="s">
        <v>46</v>
      </c>
      <c r="S599" s="15" t="s">
        <v>47</v>
      </c>
    </row>
    <row r="600" customFormat="false" ht="15" hidden="false" customHeight="true" outlineLevel="0" collapsed="false">
      <c r="A600" s="11" t="s">
        <v>736</v>
      </c>
      <c r="B600" s="12" t="n">
        <v>45721</v>
      </c>
      <c r="C600" s="11" t="s">
        <v>38</v>
      </c>
      <c r="D600" s="11" t="s">
        <v>88</v>
      </c>
      <c r="E600" s="11" t="s">
        <v>89</v>
      </c>
      <c r="F600" s="11" t="s">
        <v>135</v>
      </c>
      <c r="G600" s="11" t="s">
        <v>42</v>
      </c>
      <c r="H600" s="11" t="s">
        <v>78</v>
      </c>
      <c r="I600" s="11" t="s">
        <v>120</v>
      </c>
      <c r="J600" s="11" t="s">
        <v>235</v>
      </c>
      <c r="K600" s="13" t="n">
        <v>88.05</v>
      </c>
      <c r="L600" s="11" t="n">
        <v>90</v>
      </c>
      <c r="M600" s="14" t="n">
        <v>0.1</v>
      </c>
      <c r="N600" s="13" t="n">
        <v>65.91</v>
      </c>
      <c r="O600" s="13" t="n">
        <f aca="false">K600*L600*(1-M600)</f>
        <v>7132.05</v>
      </c>
      <c r="P600" s="13" t="n">
        <f aca="false">N600*L600</f>
        <v>5931.9</v>
      </c>
      <c r="Q600" s="13" t="n">
        <f aca="false">O600-P600</f>
        <v>1200.15</v>
      </c>
      <c r="R600" s="11" t="s">
        <v>46</v>
      </c>
      <c r="S600" s="11" t="s">
        <v>47</v>
      </c>
    </row>
    <row r="601" customFormat="false" ht="15" hidden="false" customHeight="true" outlineLevel="0" collapsed="false">
      <c r="A601" s="15" t="s">
        <v>737</v>
      </c>
      <c r="B601" s="16" t="n">
        <v>45721</v>
      </c>
      <c r="C601" s="15" t="s">
        <v>49</v>
      </c>
      <c r="D601" s="15" t="s">
        <v>97</v>
      </c>
      <c r="E601" s="15" t="s">
        <v>112</v>
      </c>
      <c r="F601" s="15" t="s">
        <v>51</v>
      </c>
      <c r="G601" s="15" t="s">
        <v>52</v>
      </c>
      <c r="H601" s="15" t="s">
        <v>78</v>
      </c>
      <c r="I601" s="15" t="s">
        <v>120</v>
      </c>
      <c r="J601" s="15" t="s">
        <v>121</v>
      </c>
      <c r="K601" s="17" t="n">
        <v>347.05</v>
      </c>
      <c r="L601" s="15" t="n">
        <v>37</v>
      </c>
      <c r="M601" s="18" t="n">
        <v>0.05</v>
      </c>
      <c r="N601" s="17" t="n">
        <v>269.12</v>
      </c>
      <c r="O601" s="17" t="n">
        <f aca="false">K601*L601*(1-M601)</f>
        <v>12198.8075</v>
      </c>
      <c r="P601" s="17" t="n">
        <f aca="false">N601*L601</f>
        <v>9957.44</v>
      </c>
      <c r="Q601" s="17" t="n">
        <f aca="false">O601-P601</f>
        <v>2241.3675</v>
      </c>
      <c r="R601" s="15" t="s">
        <v>114</v>
      </c>
      <c r="S601" s="15" t="s">
        <v>124</v>
      </c>
    </row>
    <row r="602" customFormat="false" ht="15" hidden="false" customHeight="true" outlineLevel="0" collapsed="false">
      <c r="A602" s="11" t="s">
        <v>738</v>
      </c>
      <c r="B602" s="12" t="n">
        <v>45722</v>
      </c>
      <c r="C602" s="11" t="s">
        <v>65</v>
      </c>
      <c r="D602" s="11" t="s">
        <v>66</v>
      </c>
      <c r="E602" s="11" t="s">
        <v>67</v>
      </c>
      <c r="F602" s="11" t="s">
        <v>41</v>
      </c>
      <c r="G602" s="11" t="s">
        <v>126</v>
      </c>
      <c r="H602" s="11" t="s">
        <v>84</v>
      </c>
      <c r="I602" s="11" t="s">
        <v>85</v>
      </c>
      <c r="J602" s="11" t="s">
        <v>86</v>
      </c>
      <c r="K602" s="13" t="n">
        <v>294.07</v>
      </c>
      <c r="L602" s="11" t="n">
        <v>17</v>
      </c>
      <c r="M602" s="14" t="n">
        <v>0</v>
      </c>
      <c r="N602" s="13" t="n">
        <v>221.59</v>
      </c>
      <c r="O602" s="13" t="n">
        <f aca="false">K602*L602*(1-M602)</f>
        <v>4999.19</v>
      </c>
      <c r="P602" s="13" t="n">
        <f aca="false">N602*L602</f>
        <v>3767.03</v>
      </c>
      <c r="Q602" s="13" t="n">
        <f aca="false">O602-P602</f>
        <v>1232.16</v>
      </c>
      <c r="R602" s="11" t="s">
        <v>46</v>
      </c>
      <c r="S602" s="11" t="s">
        <v>47</v>
      </c>
    </row>
    <row r="603" customFormat="false" ht="15" hidden="false" customHeight="true" outlineLevel="0" collapsed="false">
      <c r="A603" s="15" t="s">
        <v>739</v>
      </c>
      <c r="B603" s="16" t="n">
        <v>45723</v>
      </c>
      <c r="C603" s="15" t="s">
        <v>57</v>
      </c>
      <c r="D603" s="15" t="s">
        <v>162</v>
      </c>
      <c r="E603" s="15" t="s">
        <v>163</v>
      </c>
      <c r="F603" s="15" t="s">
        <v>51</v>
      </c>
      <c r="G603" s="15" t="s">
        <v>52</v>
      </c>
      <c r="H603" s="15" t="s">
        <v>84</v>
      </c>
      <c r="I603" s="15" t="s">
        <v>136</v>
      </c>
      <c r="J603" s="15" t="s">
        <v>137</v>
      </c>
      <c r="K603" s="17" t="n">
        <v>355.94</v>
      </c>
      <c r="L603" s="15" t="n">
        <v>29</v>
      </c>
      <c r="M603" s="18" t="n">
        <v>0</v>
      </c>
      <c r="N603" s="17" t="n">
        <v>274.12</v>
      </c>
      <c r="O603" s="17" t="n">
        <f aca="false">K603*L603*(1-M603)</f>
        <v>10322.26</v>
      </c>
      <c r="P603" s="17" t="n">
        <f aca="false">N603*L603</f>
        <v>7949.48</v>
      </c>
      <c r="Q603" s="17" t="n">
        <f aca="false">O603-P603</f>
        <v>2372.78</v>
      </c>
      <c r="R603" s="15" t="s">
        <v>114</v>
      </c>
      <c r="S603" s="15" t="s">
        <v>47</v>
      </c>
    </row>
    <row r="604" customFormat="false" ht="15" hidden="false" customHeight="true" outlineLevel="0" collapsed="false">
      <c r="A604" s="11" t="s">
        <v>740</v>
      </c>
      <c r="B604" s="12" t="n">
        <v>45723</v>
      </c>
      <c r="C604" s="11" t="s">
        <v>49</v>
      </c>
      <c r="D604" s="11" t="s">
        <v>97</v>
      </c>
      <c r="E604" s="11" t="s">
        <v>98</v>
      </c>
      <c r="F604" s="11" t="s">
        <v>135</v>
      </c>
      <c r="G604" s="11" t="s">
        <v>77</v>
      </c>
      <c r="H604" s="11" t="s">
        <v>53</v>
      </c>
      <c r="I604" s="11" t="s">
        <v>54</v>
      </c>
      <c r="J604" s="11" t="s">
        <v>113</v>
      </c>
      <c r="K604" s="13" t="n">
        <v>11.07</v>
      </c>
      <c r="L604" s="11" t="n">
        <v>108</v>
      </c>
      <c r="M604" s="14" t="n">
        <v>0</v>
      </c>
      <c r="N604" s="13" t="n">
        <v>7.46</v>
      </c>
      <c r="O604" s="13" t="n">
        <f aca="false">K604*L604*(1-M604)</f>
        <v>1195.56</v>
      </c>
      <c r="P604" s="13" t="n">
        <f aca="false">N604*L604</f>
        <v>805.68</v>
      </c>
      <c r="Q604" s="13" t="n">
        <f aca="false">O604-P604</f>
        <v>389.88</v>
      </c>
      <c r="R604" s="11" t="s">
        <v>63</v>
      </c>
      <c r="S604" s="11" t="s">
        <v>47</v>
      </c>
    </row>
    <row r="605" customFormat="false" ht="15" hidden="false" customHeight="true" outlineLevel="0" collapsed="false">
      <c r="A605" s="15" t="s">
        <v>741</v>
      </c>
      <c r="B605" s="16" t="n">
        <v>45725</v>
      </c>
      <c r="C605" s="15" t="s">
        <v>38</v>
      </c>
      <c r="D605" s="15" t="s">
        <v>92</v>
      </c>
      <c r="E605" s="15" t="s">
        <v>93</v>
      </c>
      <c r="F605" s="15" t="s">
        <v>118</v>
      </c>
      <c r="G605" s="15" t="s">
        <v>42</v>
      </c>
      <c r="H605" s="15" t="s">
        <v>78</v>
      </c>
      <c r="I605" s="15" t="s">
        <v>143</v>
      </c>
      <c r="J605" s="15" t="s">
        <v>158</v>
      </c>
      <c r="K605" s="17" t="n">
        <v>836.72</v>
      </c>
      <c r="L605" s="15" t="n">
        <v>8</v>
      </c>
      <c r="M605" s="18" t="n">
        <v>0.1</v>
      </c>
      <c r="N605" s="17" t="n">
        <v>676.08</v>
      </c>
      <c r="O605" s="17" t="n">
        <f aca="false">K605*L605*(1-M605)</f>
        <v>6024.384</v>
      </c>
      <c r="P605" s="17" t="n">
        <f aca="false">N605*L605</f>
        <v>5408.64</v>
      </c>
      <c r="Q605" s="17" t="n">
        <f aca="false">O605-P605</f>
        <v>615.744</v>
      </c>
      <c r="R605" s="15" t="s">
        <v>63</v>
      </c>
      <c r="S605" s="15" t="s">
        <v>47</v>
      </c>
    </row>
    <row r="606" customFormat="false" ht="15" hidden="false" customHeight="true" outlineLevel="0" collapsed="false">
      <c r="A606" s="11" t="s">
        <v>742</v>
      </c>
      <c r="B606" s="12" t="n">
        <v>45725</v>
      </c>
      <c r="C606" s="11" t="s">
        <v>38</v>
      </c>
      <c r="D606" s="11" t="s">
        <v>92</v>
      </c>
      <c r="E606" s="11" t="s">
        <v>93</v>
      </c>
      <c r="F606" s="11" t="s">
        <v>41</v>
      </c>
      <c r="G606" s="11" t="s">
        <v>77</v>
      </c>
      <c r="H606" s="11" t="s">
        <v>78</v>
      </c>
      <c r="I606" s="11" t="s">
        <v>79</v>
      </c>
      <c r="J606" s="11" t="s">
        <v>242</v>
      </c>
      <c r="K606" s="13" t="n">
        <v>3932.59</v>
      </c>
      <c r="L606" s="11" t="n">
        <v>9</v>
      </c>
      <c r="M606" s="14" t="n">
        <v>0.2</v>
      </c>
      <c r="N606" s="13" t="n">
        <v>3367.46</v>
      </c>
      <c r="O606" s="13" t="n">
        <f aca="false">K606*L606*(1-M606)</f>
        <v>28314.648</v>
      </c>
      <c r="P606" s="13" t="n">
        <f aca="false">N606*L606</f>
        <v>30307.14</v>
      </c>
      <c r="Q606" s="13" t="n">
        <f aca="false">O606-P606</f>
        <v>-1992.492</v>
      </c>
      <c r="R606" s="11" t="s">
        <v>71</v>
      </c>
      <c r="S606" s="11" t="s">
        <v>47</v>
      </c>
    </row>
    <row r="607" customFormat="false" ht="15" hidden="false" customHeight="true" outlineLevel="0" collapsed="false">
      <c r="A607" s="15" t="s">
        <v>743</v>
      </c>
      <c r="B607" s="16" t="n">
        <v>45726</v>
      </c>
      <c r="C607" s="15" t="s">
        <v>49</v>
      </c>
      <c r="D607" s="15" t="s">
        <v>50</v>
      </c>
      <c r="E607" s="15" t="s">
        <v>50</v>
      </c>
      <c r="F607" s="15" t="s">
        <v>118</v>
      </c>
      <c r="G607" s="15" t="s">
        <v>52</v>
      </c>
      <c r="H607" s="15" t="s">
        <v>78</v>
      </c>
      <c r="I607" s="15" t="s">
        <v>120</v>
      </c>
      <c r="J607" s="15" t="s">
        <v>232</v>
      </c>
      <c r="K607" s="17" t="n">
        <v>357.33</v>
      </c>
      <c r="L607" s="15" t="n">
        <v>11</v>
      </c>
      <c r="M607" s="18" t="n">
        <v>0.15</v>
      </c>
      <c r="N607" s="17" t="n">
        <v>275.46</v>
      </c>
      <c r="O607" s="17" t="n">
        <f aca="false">K607*L607*(1-M607)</f>
        <v>3341.0355</v>
      </c>
      <c r="P607" s="17" t="n">
        <f aca="false">N607*L607</f>
        <v>3030.06</v>
      </c>
      <c r="Q607" s="17" t="n">
        <f aca="false">O607-P607</f>
        <v>310.9755</v>
      </c>
      <c r="R607" s="15" t="s">
        <v>46</v>
      </c>
      <c r="S607" s="15" t="s">
        <v>47</v>
      </c>
    </row>
    <row r="608" customFormat="false" ht="15" hidden="false" customHeight="true" outlineLevel="0" collapsed="false">
      <c r="A608" s="11" t="s">
        <v>744</v>
      </c>
      <c r="B608" s="12" t="n">
        <v>45726</v>
      </c>
      <c r="C608" s="11" t="s">
        <v>49</v>
      </c>
      <c r="D608" s="11" t="s">
        <v>50</v>
      </c>
      <c r="E608" s="11" t="s">
        <v>50</v>
      </c>
      <c r="F608" s="11" t="s">
        <v>118</v>
      </c>
      <c r="G608" s="11" t="s">
        <v>52</v>
      </c>
      <c r="H608" s="11" t="s">
        <v>84</v>
      </c>
      <c r="I608" s="11" t="s">
        <v>85</v>
      </c>
      <c r="J608" s="11" t="s">
        <v>86</v>
      </c>
      <c r="K608" s="13" t="n">
        <v>395.32</v>
      </c>
      <c r="L608" s="11" t="n">
        <v>22</v>
      </c>
      <c r="M608" s="14" t="n">
        <v>0.05</v>
      </c>
      <c r="N608" s="13" t="n">
        <v>292.71</v>
      </c>
      <c r="O608" s="13" t="n">
        <f aca="false">K608*L608*(1-M608)</f>
        <v>8262.188</v>
      </c>
      <c r="P608" s="13" t="n">
        <f aca="false">N608*L608</f>
        <v>6439.62</v>
      </c>
      <c r="Q608" s="13" t="n">
        <f aca="false">O608-P608</f>
        <v>1822.568</v>
      </c>
      <c r="R608" s="11" t="s">
        <v>63</v>
      </c>
      <c r="S608" s="11" t="s">
        <v>47</v>
      </c>
    </row>
    <row r="609" customFormat="false" ht="15" hidden="false" customHeight="true" outlineLevel="0" collapsed="false">
      <c r="A609" s="15" t="s">
        <v>745</v>
      </c>
      <c r="B609" s="16" t="n">
        <v>45726</v>
      </c>
      <c r="C609" s="15" t="s">
        <v>49</v>
      </c>
      <c r="D609" s="15" t="s">
        <v>97</v>
      </c>
      <c r="E609" s="15" t="s">
        <v>98</v>
      </c>
      <c r="F609" s="15" t="s">
        <v>41</v>
      </c>
      <c r="G609" s="15" t="s">
        <v>42</v>
      </c>
      <c r="H609" s="15" t="s">
        <v>53</v>
      </c>
      <c r="I609" s="15" t="s">
        <v>94</v>
      </c>
      <c r="J609" s="15" t="s">
        <v>95</v>
      </c>
      <c r="K609" s="17" t="n">
        <v>39.92</v>
      </c>
      <c r="L609" s="15" t="n">
        <v>90</v>
      </c>
      <c r="M609" s="18" t="n">
        <v>0</v>
      </c>
      <c r="N609" s="17" t="n">
        <v>25.95</v>
      </c>
      <c r="O609" s="17" t="n">
        <f aca="false">K609*L609*(1-M609)</f>
        <v>3592.8</v>
      </c>
      <c r="P609" s="17" t="n">
        <f aca="false">N609*L609</f>
        <v>2335.5</v>
      </c>
      <c r="Q609" s="17" t="n">
        <f aca="false">O609-P609</f>
        <v>1257.3</v>
      </c>
      <c r="R609" s="15" t="s">
        <v>46</v>
      </c>
      <c r="S609" s="15" t="s">
        <v>47</v>
      </c>
    </row>
    <row r="610" customFormat="false" ht="15" hidden="false" customHeight="true" outlineLevel="0" collapsed="false">
      <c r="A610" s="11" t="s">
        <v>746</v>
      </c>
      <c r="B610" s="12" t="n">
        <v>45727</v>
      </c>
      <c r="C610" s="11" t="s">
        <v>57</v>
      </c>
      <c r="D610" s="11" t="s">
        <v>103</v>
      </c>
      <c r="E610" s="11" t="s">
        <v>104</v>
      </c>
      <c r="F610" s="11" t="s">
        <v>177</v>
      </c>
      <c r="G610" s="11" t="s">
        <v>42</v>
      </c>
      <c r="H610" s="11" t="s">
        <v>53</v>
      </c>
      <c r="I610" s="11" t="s">
        <v>69</v>
      </c>
      <c r="J610" s="11" t="s">
        <v>70</v>
      </c>
      <c r="K610" s="13" t="n">
        <v>23.6</v>
      </c>
      <c r="L610" s="11" t="n">
        <v>126</v>
      </c>
      <c r="M610" s="14" t="n">
        <v>0.05</v>
      </c>
      <c r="N610" s="13" t="n">
        <v>17.43</v>
      </c>
      <c r="O610" s="13" t="n">
        <f aca="false">K610*L610*(1-M610)</f>
        <v>2824.92</v>
      </c>
      <c r="P610" s="13" t="n">
        <f aca="false">N610*L610</f>
        <v>2196.18</v>
      </c>
      <c r="Q610" s="13" t="n">
        <f aca="false">O610-P610</f>
        <v>628.74</v>
      </c>
      <c r="R610" s="11" t="s">
        <v>63</v>
      </c>
      <c r="S610" s="11" t="s">
        <v>124</v>
      </c>
    </row>
    <row r="611" customFormat="false" ht="15" hidden="false" customHeight="true" outlineLevel="0" collapsed="false">
      <c r="A611" s="15" t="s">
        <v>747</v>
      </c>
      <c r="B611" s="16" t="n">
        <v>45727</v>
      </c>
      <c r="C611" s="15" t="s">
        <v>49</v>
      </c>
      <c r="D611" s="15" t="s">
        <v>97</v>
      </c>
      <c r="E611" s="15" t="s">
        <v>108</v>
      </c>
      <c r="F611" s="15" t="s">
        <v>118</v>
      </c>
      <c r="G611" s="15" t="s">
        <v>42</v>
      </c>
      <c r="H611" s="15" t="s">
        <v>53</v>
      </c>
      <c r="I611" s="15" t="s">
        <v>69</v>
      </c>
      <c r="J611" s="15" t="s">
        <v>70</v>
      </c>
      <c r="K611" s="17" t="n">
        <v>22.51</v>
      </c>
      <c r="L611" s="15" t="n">
        <v>98</v>
      </c>
      <c r="M611" s="18" t="n">
        <v>0.2</v>
      </c>
      <c r="N611" s="17" t="n">
        <v>15.22</v>
      </c>
      <c r="O611" s="17" t="n">
        <f aca="false">K611*L611*(1-M611)</f>
        <v>1764.784</v>
      </c>
      <c r="P611" s="17" t="n">
        <f aca="false">N611*L611</f>
        <v>1491.56</v>
      </c>
      <c r="Q611" s="17" t="n">
        <f aca="false">O611-P611</f>
        <v>273.224</v>
      </c>
      <c r="R611" s="15" t="s">
        <v>114</v>
      </c>
      <c r="S611" s="15" t="s">
        <v>47</v>
      </c>
    </row>
    <row r="612" customFormat="false" ht="15" hidden="false" customHeight="true" outlineLevel="0" collapsed="false">
      <c r="A612" s="11" t="s">
        <v>748</v>
      </c>
      <c r="B612" s="12" t="n">
        <v>45727</v>
      </c>
      <c r="C612" s="11" t="s">
        <v>49</v>
      </c>
      <c r="D612" s="11" t="s">
        <v>97</v>
      </c>
      <c r="E612" s="11" t="s">
        <v>108</v>
      </c>
      <c r="F612" s="11" t="s">
        <v>51</v>
      </c>
      <c r="G612" s="11" t="s">
        <v>42</v>
      </c>
      <c r="H612" s="11" t="s">
        <v>78</v>
      </c>
      <c r="I612" s="11" t="s">
        <v>143</v>
      </c>
      <c r="J612" s="11" t="s">
        <v>144</v>
      </c>
      <c r="K612" s="13" t="n">
        <v>1708.82</v>
      </c>
      <c r="L612" s="11" t="n">
        <v>4</v>
      </c>
      <c r="M612" s="14" t="n">
        <v>0</v>
      </c>
      <c r="N612" s="13" t="n">
        <v>1390.87</v>
      </c>
      <c r="O612" s="13" t="n">
        <f aca="false">K612*L612*(1-M612)</f>
        <v>6835.28</v>
      </c>
      <c r="P612" s="13" t="n">
        <f aca="false">N612*L612</f>
        <v>5563.48</v>
      </c>
      <c r="Q612" s="13" t="n">
        <f aca="false">O612-P612</f>
        <v>1271.8</v>
      </c>
      <c r="R612" s="11" t="s">
        <v>46</v>
      </c>
      <c r="S612" s="11" t="s">
        <v>72</v>
      </c>
    </row>
    <row r="613" customFormat="false" ht="15" hidden="false" customHeight="true" outlineLevel="0" collapsed="false">
      <c r="A613" s="15" t="s">
        <v>749</v>
      </c>
      <c r="B613" s="16" t="n">
        <v>45727</v>
      </c>
      <c r="C613" s="15" t="s">
        <v>49</v>
      </c>
      <c r="D613" s="15" t="s">
        <v>152</v>
      </c>
      <c r="E613" s="15" t="s">
        <v>152</v>
      </c>
      <c r="F613" s="15" t="s">
        <v>99</v>
      </c>
      <c r="G613" s="15" t="s">
        <v>52</v>
      </c>
      <c r="H613" s="15" t="s">
        <v>43</v>
      </c>
      <c r="I613" s="15" t="s">
        <v>44</v>
      </c>
      <c r="J613" s="15" t="s">
        <v>106</v>
      </c>
      <c r="K613" s="17" t="n">
        <v>367.43</v>
      </c>
      <c r="L613" s="15" t="n">
        <v>34</v>
      </c>
      <c r="M613" s="18" t="n">
        <v>0.1</v>
      </c>
      <c r="N613" s="17" t="n">
        <v>131.92</v>
      </c>
      <c r="O613" s="17" t="n">
        <f aca="false">K613*L613*(1-M613)</f>
        <v>11243.358</v>
      </c>
      <c r="P613" s="17" t="n">
        <f aca="false">N613*L613</f>
        <v>4485.28</v>
      </c>
      <c r="Q613" s="17" t="n">
        <f aca="false">O613-P613</f>
        <v>6758.078</v>
      </c>
      <c r="R613" s="15" t="s">
        <v>46</v>
      </c>
      <c r="S613" s="15" t="s">
        <v>47</v>
      </c>
    </row>
    <row r="614" customFormat="false" ht="15" hidden="false" customHeight="true" outlineLevel="0" collapsed="false">
      <c r="A614" s="11" t="s">
        <v>750</v>
      </c>
      <c r="B614" s="12" t="n">
        <v>45729</v>
      </c>
      <c r="C614" s="11" t="s">
        <v>49</v>
      </c>
      <c r="D614" s="11" t="s">
        <v>97</v>
      </c>
      <c r="E614" s="11" t="s">
        <v>112</v>
      </c>
      <c r="F614" s="11" t="s">
        <v>177</v>
      </c>
      <c r="G614" s="11" t="s">
        <v>52</v>
      </c>
      <c r="H614" s="11" t="s">
        <v>53</v>
      </c>
      <c r="I614" s="11" t="s">
        <v>54</v>
      </c>
      <c r="J614" s="11" t="s">
        <v>55</v>
      </c>
      <c r="K614" s="13" t="n">
        <v>16.6</v>
      </c>
      <c r="L614" s="11" t="n">
        <v>20</v>
      </c>
      <c r="M614" s="14" t="n">
        <v>0</v>
      </c>
      <c r="N614" s="13" t="n">
        <v>11.72</v>
      </c>
      <c r="O614" s="13" t="n">
        <f aca="false">K614*L614*(1-M614)</f>
        <v>332</v>
      </c>
      <c r="P614" s="13" t="n">
        <f aca="false">N614*L614</f>
        <v>234.4</v>
      </c>
      <c r="Q614" s="13" t="n">
        <f aca="false">O614-P614</f>
        <v>97.6</v>
      </c>
      <c r="R614" s="11" t="s">
        <v>114</v>
      </c>
      <c r="S614" s="11" t="s">
        <v>72</v>
      </c>
    </row>
    <row r="615" customFormat="false" ht="15" hidden="false" customHeight="true" outlineLevel="0" collapsed="false">
      <c r="A615" s="15" t="s">
        <v>751</v>
      </c>
      <c r="B615" s="16" t="n">
        <v>45729</v>
      </c>
      <c r="C615" s="15" t="s">
        <v>49</v>
      </c>
      <c r="D615" s="15" t="s">
        <v>152</v>
      </c>
      <c r="E615" s="15" t="s">
        <v>152</v>
      </c>
      <c r="F615" s="15" t="s">
        <v>51</v>
      </c>
      <c r="G615" s="15" t="s">
        <v>52</v>
      </c>
      <c r="H615" s="15" t="s">
        <v>43</v>
      </c>
      <c r="I615" s="15" t="s">
        <v>61</v>
      </c>
      <c r="J615" s="15" t="s">
        <v>62</v>
      </c>
      <c r="K615" s="17" t="n">
        <v>396.41</v>
      </c>
      <c r="L615" s="15" t="n">
        <v>14</v>
      </c>
      <c r="M615" s="18" t="n">
        <v>0.05</v>
      </c>
      <c r="N615" s="17" t="n">
        <v>125.86</v>
      </c>
      <c r="O615" s="17" t="n">
        <f aca="false">K615*L615*(1-M615)</f>
        <v>5272.253</v>
      </c>
      <c r="P615" s="17" t="n">
        <f aca="false">N615*L615</f>
        <v>1762.04</v>
      </c>
      <c r="Q615" s="17" t="n">
        <f aca="false">O615-P615</f>
        <v>3510.213</v>
      </c>
      <c r="R615" s="15" t="s">
        <v>114</v>
      </c>
      <c r="S615" s="15" t="s">
        <v>47</v>
      </c>
    </row>
    <row r="616" customFormat="false" ht="15" hidden="false" customHeight="true" outlineLevel="0" collapsed="false">
      <c r="A616" s="11" t="s">
        <v>752</v>
      </c>
      <c r="B616" s="12" t="n">
        <v>45729</v>
      </c>
      <c r="C616" s="11" t="s">
        <v>49</v>
      </c>
      <c r="D616" s="11" t="s">
        <v>97</v>
      </c>
      <c r="E616" s="11" t="s">
        <v>98</v>
      </c>
      <c r="F616" s="11" t="s">
        <v>123</v>
      </c>
      <c r="G616" s="11" t="s">
        <v>42</v>
      </c>
      <c r="H616" s="11" t="s">
        <v>43</v>
      </c>
      <c r="I616" s="11" t="s">
        <v>44</v>
      </c>
      <c r="J616" s="11" t="s">
        <v>106</v>
      </c>
      <c r="K616" s="13" t="n">
        <v>472.91</v>
      </c>
      <c r="L616" s="11" t="n">
        <v>29</v>
      </c>
      <c r="M616" s="14" t="n">
        <v>0.1</v>
      </c>
      <c r="N616" s="13" t="n">
        <v>165.83</v>
      </c>
      <c r="O616" s="13" t="n">
        <f aca="false">K616*L616*(1-M616)</f>
        <v>12342.951</v>
      </c>
      <c r="P616" s="13" t="n">
        <f aca="false">N616*L616</f>
        <v>4809.07</v>
      </c>
      <c r="Q616" s="13" t="n">
        <f aca="false">O616-P616</f>
        <v>7533.881</v>
      </c>
      <c r="R616" s="11" t="s">
        <v>63</v>
      </c>
      <c r="S616" s="11" t="s">
        <v>47</v>
      </c>
    </row>
    <row r="617" customFormat="false" ht="15" hidden="false" customHeight="true" outlineLevel="0" collapsed="false">
      <c r="A617" s="15" t="s">
        <v>753</v>
      </c>
      <c r="B617" s="16" t="n">
        <v>45730</v>
      </c>
      <c r="C617" s="15" t="s">
        <v>65</v>
      </c>
      <c r="D617" s="15" t="s">
        <v>149</v>
      </c>
      <c r="E617" s="15" t="s">
        <v>150</v>
      </c>
      <c r="F617" s="15" t="s">
        <v>51</v>
      </c>
      <c r="G617" s="15" t="s">
        <v>42</v>
      </c>
      <c r="H617" s="15" t="s">
        <v>78</v>
      </c>
      <c r="I617" s="15" t="s">
        <v>143</v>
      </c>
      <c r="J617" s="15" t="s">
        <v>144</v>
      </c>
      <c r="K617" s="17" t="n">
        <v>1243.07</v>
      </c>
      <c r="L617" s="15" t="n">
        <v>2</v>
      </c>
      <c r="M617" s="18" t="n">
        <v>0</v>
      </c>
      <c r="N617" s="17" t="n">
        <v>1041.72</v>
      </c>
      <c r="O617" s="17" t="n">
        <f aca="false">K617*L617*(1-M617)</f>
        <v>2486.14</v>
      </c>
      <c r="P617" s="17" t="n">
        <f aca="false">N617*L617</f>
        <v>2083.44</v>
      </c>
      <c r="Q617" s="17" t="n">
        <f aca="false">O617-P617</f>
        <v>402.7</v>
      </c>
      <c r="R617" s="15" t="s">
        <v>71</v>
      </c>
      <c r="S617" s="15" t="s">
        <v>47</v>
      </c>
    </row>
    <row r="618" customFormat="false" ht="15" hidden="false" customHeight="true" outlineLevel="0" collapsed="false">
      <c r="A618" s="11" t="s">
        <v>754</v>
      </c>
      <c r="B618" s="12" t="n">
        <v>45730</v>
      </c>
      <c r="C618" s="11" t="s">
        <v>38</v>
      </c>
      <c r="D618" s="11" t="s">
        <v>39</v>
      </c>
      <c r="E618" s="11" t="s">
        <v>40</v>
      </c>
      <c r="F618" s="11" t="s">
        <v>41</v>
      </c>
      <c r="G618" s="11" t="s">
        <v>77</v>
      </c>
      <c r="H618" s="11" t="s">
        <v>78</v>
      </c>
      <c r="I618" s="11" t="s">
        <v>154</v>
      </c>
      <c r="J618" s="11" t="s">
        <v>155</v>
      </c>
      <c r="K618" s="13" t="n">
        <v>789.88</v>
      </c>
      <c r="L618" s="11" t="n">
        <v>3</v>
      </c>
      <c r="M618" s="14" t="n">
        <v>0.05</v>
      </c>
      <c r="N618" s="13" t="n">
        <v>620.95</v>
      </c>
      <c r="O618" s="13" t="n">
        <f aca="false">K618*L618*(1-M618)</f>
        <v>2251.158</v>
      </c>
      <c r="P618" s="13" t="n">
        <f aca="false">N618*L618</f>
        <v>1862.85</v>
      </c>
      <c r="Q618" s="13" t="n">
        <f aca="false">O618-P618</f>
        <v>388.308</v>
      </c>
      <c r="R618" s="11" t="s">
        <v>46</v>
      </c>
      <c r="S618" s="11" t="s">
        <v>47</v>
      </c>
    </row>
    <row r="619" customFormat="false" ht="15" hidden="false" customHeight="true" outlineLevel="0" collapsed="false">
      <c r="A619" s="15" t="s">
        <v>755</v>
      </c>
      <c r="B619" s="16" t="n">
        <v>45731</v>
      </c>
      <c r="C619" s="15" t="s">
        <v>38</v>
      </c>
      <c r="D619" s="15" t="s">
        <v>92</v>
      </c>
      <c r="E619" s="15" t="s">
        <v>93</v>
      </c>
      <c r="F619" s="15" t="s">
        <v>41</v>
      </c>
      <c r="G619" s="15" t="s">
        <v>52</v>
      </c>
      <c r="H619" s="15" t="s">
        <v>78</v>
      </c>
      <c r="I619" s="15" t="s">
        <v>154</v>
      </c>
      <c r="J619" s="15" t="s">
        <v>186</v>
      </c>
      <c r="K619" s="17" t="n">
        <v>1056.95</v>
      </c>
      <c r="L619" s="15" t="n">
        <v>20</v>
      </c>
      <c r="M619" s="18" t="n">
        <v>0.05</v>
      </c>
      <c r="N619" s="17" t="n">
        <v>882.73</v>
      </c>
      <c r="O619" s="17" t="n">
        <f aca="false">K619*L619*(1-M619)</f>
        <v>20082.05</v>
      </c>
      <c r="P619" s="17" t="n">
        <f aca="false">N619*L619</f>
        <v>17654.6</v>
      </c>
      <c r="Q619" s="17" t="n">
        <f aca="false">O619-P619</f>
        <v>2427.45</v>
      </c>
      <c r="R619" s="15" t="s">
        <v>46</v>
      </c>
      <c r="S619" s="15" t="s">
        <v>47</v>
      </c>
    </row>
    <row r="620" customFormat="false" ht="15" hidden="false" customHeight="true" outlineLevel="0" collapsed="false">
      <c r="A620" s="11" t="s">
        <v>756</v>
      </c>
      <c r="B620" s="12" t="n">
        <v>45732</v>
      </c>
      <c r="C620" s="11" t="s">
        <v>74</v>
      </c>
      <c r="D620" s="11" t="s">
        <v>171</v>
      </c>
      <c r="E620" s="11" t="s">
        <v>172</v>
      </c>
      <c r="F620" s="11" t="s">
        <v>68</v>
      </c>
      <c r="G620" s="11" t="s">
        <v>42</v>
      </c>
      <c r="H620" s="11" t="s">
        <v>78</v>
      </c>
      <c r="I620" s="11" t="s">
        <v>154</v>
      </c>
      <c r="J620" s="11" t="s">
        <v>155</v>
      </c>
      <c r="K620" s="13" t="n">
        <v>548.32</v>
      </c>
      <c r="L620" s="11" t="n">
        <v>13</v>
      </c>
      <c r="M620" s="14" t="n">
        <v>0</v>
      </c>
      <c r="N620" s="13" t="n">
        <v>469.77</v>
      </c>
      <c r="O620" s="13" t="n">
        <f aca="false">K620*L620*(1-M620)</f>
        <v>7128.16</v>
      </c>
      <c r="P620" s="13" t="n">
        <f aca="false">N620*L620</f>
        <v>6107.01</v>
      </c>
      <c r="Q620" s="13" t="n">
        <f aca="false">O620-P620</f>
        <v>1021.15</v>
      </c>
      <c r="R620" s="11" t="s">
        <v>63</v>
      </c>
      <c r="S620" s="11" t="s">
        <v>47</v>
      </c>
    </row>
    <row r="621" customFormat="false" ht="15" hidden="false" customHeight="true" outlineLevel="0" collapsed="false">
      <c r="A621" s="15" t="s">
        <v>757</v>
      </c>
      <c r="B621" s="16" t="n">
        <v>45733</v>
      </c>
      <c r="C621" s="15" t="s">
        <v>49</v>
      </c>
      <c r="D621" s="15" t="s">
        <v>97</v>
      </c>
      <c r="E621" s="15" t="s">
        <v>108</v>
      </c>
      <c r="F621" s="15" t="s">
        <v>51</v>
      </c>
      <c r="G621" s="15" t="s">
        <v>42</v>
      </c>
      <c r="H621" s="15" t="s">
        <v>53</v>
      </c>
      <c r="I621" s="15" t="s">
        <v>94</v>
      </c>
      <c r="J621" s="15" t="s">
        <v>131</v>
      </c>
      <c r="K621" s="17" t="n">
        <v>33.69</v>
      </c>
      <c r="L621" s="15" t="n">
        <v>56</v>
      </c>
      <c r="M621" s="18" t="n">
        <v>0.1</v>
      </c>
      <c r="N621" s="17" t="n">
        <v>19.75</v>
      </c>
      <c r="O621" s="17" t="n">
        <f aca="false">K621*L621*(1-M621)</f>
        <v>1697.976</v>
      </c>
      <c r="P621" s="17" t="n">
        <f aca="false">N621*L621</f>
        <v>1106</v>
      </c>
      <c r="Q621" s="17" t="n">
        <f aca="false">O621-P621</f>
        <v>591.976</v>
      </c>
      <c r="R621" s="15" t="s">
        <v>46</v>
      </c>
      <c r="S621" s="15" t="s">
        <v>47</v>
      </c>
    </row>
    <row r="622" customFormat="false" ht="15" hidden="false" customHeight="true" outlineLevel="0" collapsed="false">
      <c r="A622" s="11" t="s">
        <v>758</v>
      </c>
      <c r="B622" s="12" t="n">
        <v>45734</v>
      </c>
      <c r="C622" s="11" t="s">
        <v>38</v>
      </c>
      <c r="D622" s="11" t="s">
        <v>39</v>
      </c>
      <c r="E622" s="11" t="s">
        <v>40</v>
      </c>
      <c r="F622" s="11" t="s">
        <v>118</v>
      </c>
      <c r="G622" s="11" t="s">
        <v>42</v>
      </c>
      <c r="H622" s="11" t="s">
        <v>78</v>
      </c>
      <c r="I622" s="11" t="s">
        <v>143</v>
      </c>
      <c r="J622" s="11" t="s">
        <v>144</v>
      </c>
      <c r="K622" s="13" t="n">
        <v>1292.81</v>
      </c>
      <c r="L622" s="11" t="n">
        <v>1</v>
      </c>
      <c r="M622" s="14" t="n">
        <v>0.2</v>
      </c>
      <c r="N622" s="13" t="n">
        <v>1054.49</v>
      </c>
      <c r="O622" s="13" t="n">
        <f aca="false">K622*L622*(1-M622)</f>
        <v>1034.248</v>
      </c>
      <c r="P622" s="13" t="n">
        <f aca="false">N622*L622</f>
        <v>1054.49</v>
      </c>
      <c r="Q622" s="13" t="n">
        <f aca="false">O622-P622</f>
        <v>-20.242</v>
      </c>
      <c r="R622" s="11" t="s">
        <v>167</v>
      </c>
      <c r="S622" s="11" t="s">
        <v>47</v>
      </c>
    </row>
    <row r="623" customFormat="false" ht="15" hidden="false" customHeight="true" outlineLevel="0" collapsed="false">
      <c r="A623" s="15" t="s">
        <v>759</v>
      </c>
      <c r="B623" s="16" t="n">
        <v>45734</v>
      </c>
      <c r="C623" s="15" t="s">
        <v>49</v>
      </c>
      <c r="D623" s="15" t="s">
        <v>97</v>
      </c>
      <c r="E623" s="15" t="s">
        <v>98</v>
      </c>
      <c r="F623" s="15" t="s">
        <v>99</v>
      </c>
      <c r="G623" s="15" t="s">
        <v>77</v>
      </c>
      <c r="H623" s="15" t="s">
        <v>53</v>
      </c>
      <c r="I623" s="15" t="s">
        <v>69</v>
      </c>
      <c r="J623" s="15" t="s">
        <v>128</v>
      </c>
      <c r="K623" s="17" t="n">
        <v>14.58</v>
      </c>
      <c r="L623" s="15" t="n">
        <v>48</v>
      </c>
      <c r="M623" s="18" t="n">
        <v>0</v>
      </c>
      <c r="N623" s="17" t="n">
        <v>9.43</v>
      </c>
      <c r="O623" s="17" t="n">
        <f aca="false">K623*L623*(1-M623)</f>
        <v>699.84</v>
      </c>
      <c r="P623" s="17" t="n">
        <f aca="false">N623*L623</f>
        <v>452.64</v>
      </c>
      <c r="Q623" s="17" t="n">
        <f aca="false">O623-P623</f>
        <v>247.2</v>
      </c>
      <c r="R623" s="15" t="s">
        <v>114</v>
      </c>
      <c r="S623" s="15" t="s">
        <v>47</v>
      </c>
    </row>
    <row r="624" customFormat="false" ht="15" hidden="false" customHeight="true" outlineLevel="0" collapsed="false">
      <c r="A624" s="11" t="s">
        <v>760</v>
      </c>
      <c r="B624" s="12" t="n">
        <v>45734</v>
      </c>
      <c r="C624" s="11" t="s">
        <v>49</v>
      </c>
      <c r="D624" s="11" t="s">
        <v>97</v>
      </c>
      <c r="E624" s="11" t="s">
        <v>112</v>
      </c>
      <c r="F624" s="11" t="s">
        <v>123</v>
      </c>
      <c r="G624" s="11" t="s">
        <v>130</v>
      </c>
      <c r="H624" s="11" t="s">
        <v>84</v>
      </c>
      <c r="I624" s="11" t="s">
        <v>100</v>
      </c>
      <c r="J624" s="11" t="s">
        <v>101</v>
      </c>
      <c r="K624" s="13" t="n">
        <v>2243.43</v>
      </c>
      <c r="L624" s="11" t="n">
        <v>6</v>
      </c>
      <c r="M624" s="14" t="n">
        <v>0.05</v>
      </c>
      <c r="N624" s="13" t="n">
        <v>1833.72</v>
      </c>
      <c r="O624" s="13" t="n">
        <f aca="false">K624*L624*(1-M624)</f>
        <v>12787.551</v>
      </c>
      <c r="P624" s="13" t="n">
        <f aca="false">N624*L624</f>
        <v>11002.32</v>
      </c>
      <c r="Q624" s="13" t="n">
        <f aca="false">O624-P624</f>
        <v>1785.231</v>
      </c>
      <c r="R624" s="11" t="s">
        <v>63</v>
      </c>
      <c r="S624" s="11" t="s">
        <v>47</v>
      </c>
    </row>
    <row r="625" customFormat="false" ht="15" hidden="false" customHeight="true" outlineLevel="0" collapsed="false">
      <c r="A625" s="15" t="s">
        <v>761</v>
      </c>
      <c r="B625" s="16" t="n">
        <v>45735</v>
      </c>
      <c r="C625" s="15" t="s">
        <v>49</v>
      </c>
      <c r="D625" s="15" t="s">
        <v>97</v>
      </c>
      <c r="E625" s="15" t="s">
        <v>108</v>
      </c>
      <c r="F625" s="15" t="s">
        <v>109</v>
      </c>
      <c r="G625" s="15" t="s">
        <v>77</v>
      </c>
      <c r="H625" s="15" t="s">
        <v>78</v>
      </c>
      <c r="I625" s="15" t="s">
        <v>143</v>
      </c>
      <c r="J625" s="15" t="s">
        <v>158</v>
      </c>
      <c r="K625" s="17" t="n">
        <v>710.74</v>
      </c>
      <c r="L625" s="15" t="n">
        <v>15</v>
      </c>
      <c r="M625" s="18" t="n">
        <v>0.15</v>
      </c>
      <c r="N625" s="17" t="n">
        <v>556.35</v>
      </c>
      <c r="O625" s="17" t="n">
        <f aca="false">K625*L625*(1-M625)</f>
        <v>9061.935</v>
      </c>
      <c r="P625" s="17" t="n">
        <f aca="false">N625*L625</f>
        <v>8345.25</v>
      </c>
      <c r="Q625" s="17" t="n">
        <f aca="false">O625-P625</f>
        <v>716.685</v>
      </c>
      <c r="R625" s="15" t="s">
        <v>63</v>
      </c>
      <c r="S625" s="15" t="s">
        <v>47</v>
      </c>
    </row>
    <row r="626" customFormat="false" ht="15" hidden="false" customHeight="true" outlineLevel="0" collapsed="false">
      <c r="A626" s="11" t="s">
        <v>762</v>
      </c>
      <c r="B626" s="12" t="n">
        <v>45736</v>
      </c>
      <c r="C626" s="11" t="s">
        <v>65</v>
      </c>
      <c r="D626" s="11" t="s">
        <v>149</v>
      </c>
      <c r="E626" s="11" t="s">
        <v>150</v>
      </c>
      <c r="F626" s="11" t="s">
        <v>41</v>
      </c>
      <c r="G626" s="11" t="s">
        <v>77</v>
      </c>
      <c r="H626" s="11" t="s">
        <v>84</v>
      </c>
      <c r="I626" s="11" t="s">
        <v>136</v>
      </c>
      <c r="J626" s="11" t="s">
        <v>247</v>
      </c>
      <c r="K626" s="13" t="n">
        <v>429.25</v>
      </c>
      <c r="L626" s="11" t="n">
        <v>5</v>
      </c>
      <c r="M626" s="14" t="n">
        <v>0.1</v>
      </c>
      <c r="N626" s="13" t="n">
        <v>316.09</v>
      </c>
      <c r="O626" s="13" t="n">
        <f aca="false">K626*L626*(1-M626)</f>
        <v>1931.625</v>
      </c>
      <c r="P626" s="13" t="n">
        <f aca="false">N626*L626</f>
        <v>1580.45</v>
      </c>
      <c r="Q626" s="13" t="n">
        <f aca="false">O626-P626</f>
        <v>351.175</v>
      </c>
      <c r="R626" s="11" t="s">
        <v>71</v>
      </c>
      <c r="S626" s="11" t="s">
        <v>47</v>
      </c>
    </row>
    <row r="627" customFormat="false" ht="15" hidden="false" customHeight="true" outlineLevel="0" collapsed="false">
      <c r="A627" s="15" t="s">
        <v>763</v>
      </c>
      <c r="B627" s="16" t="n">
        <v>45736</v>
      </c>
      <c r="C627" s="15" t="s">
        <v>57</v>
      </c>
      <c r="D627" s="15" t="s">
        <v>162</v>
      </c>
      <c r="E627" s="15" t="s">
        <v>163</v>
      </c>
      <c r="F627" s="15" t="s">
        <v>118</v>
      </c>
      <c r="G627" s="15" t="s">
        <v>130</v>
      </c>
      <c r="H627" s="15" t="s">
        <v>53</v>
      </c>
      <c r="I627" s="15" t="s">
        <v>54</v>
      </c>
      <c r="J627" s="15" t="s">
        <v>113</v>
      </c>
      <c r="K627" s="17" t="n">
        <v>11.08</v>
      </c>
      <c r="L627" s="15" t="n">
        <v>142</v>
      </c>
      <c r="M627" s="18" t="n">
        <v>0</v>
      </c>
      <c r="N627" s="17" t="n">
        <v>7.26</v>
      </c>
      <c r="O627" s="17" t="n">
        <f aca="false">K627*L627*(1-M627)</f>
        <v>1573.36</v>
      </c>
      <c r="P627" s="17" t="n">
        <f aca="false">N627*L627</f>
        <v>1030.92</v>
      </c>
      <c r="Q627" s="17" t="n">
        <f aca="false">O627-P627</f>
        <v>542.44</v>
      </c>
      <c r="R627" s="15" t="s">
        <v>46</v>
      </c>
      <c r="S627" s="15" t="s">
        <v>47</v>
      </c>
    </row>
    <row r="628" customFormat="false" ht="15" hidden="false" customHeight="true" outlineLevel="0" collapsed="false">
      <c r="A628" s="11" t="s">
        <v>764</v>
      </c>
      <c r="B628" s="12" t="n">
        <v>45737</v>
      </c>
      <c r="C628" s="11" t="s">
        <v>49</v>
      </c>
      <c r="D628" s="11" t="s">
        <v>97</v>
      </c>
      <c r="E628" s="11" t="s">
        <v>98</v>
      </c>
      <c r="F628" s="11" t="s">
        <v>41</v>
      </c>
      <c r="G628" s="11" t="s">
        <v>126</v>
      </c>
      <c r="H628" s="11" t="s">
        <v>43</v>
      </c>
      <c r="I628" s="11" t="s">
        <v>61</v>
      </c>
      <c r="J628" s="11" t="s">
        <v>62</v>
      </c>
      <c r="K628" s="13" t="n">
        <v>342.7</v>
      </c>
      <c r="L628" s="11" t="n">
        <v>18</v>
      </c>
      <c r="M628" s="14" t="n">
        <v>0</v>
      </c>
      <c r="N628" s="13" t="n">
        <v>154.55</v>
      </c>
      <c r="O628" s="13" t="n">
        <f aca="false">K628*L628*(1-M628)</f>
        <v>6168.6</v>
      </c>
      <c r="P628" s="13" t="n">
        <f aca="false">N628*L628</f>
        <v>2781.9</v>
      </c>
      <c r="Q628" s="13" t="n">
        <f aca="false">O628-P628</f>
        <v>3386.7</v>
      </c>
      <c r="R628" s="11" t="s">
        <v>46</v>
      </c>
      <c r="S628" s="11" t="s">
        <v>47</v>
      </c>
    </row>
    <row r="629" customFormat="false" ht="15" hidden="false" customHeight="true" outlineLevel="0" collapsed="false">
      <c r="A629" s="15" t="s">
        <v>765</v>
      </c>
      <c r="B629" s="16" t="n">
        <v>45737</v>
      </c>
      <c r="C629" s="15" t="s">
        <v>38</v>
      </c>
      <c r="D629" s="15" t="s">
        <v>39</v>
      </c>
      <c r="E629" s="15" t="s">
        <v>40</v>
      </c>
      <c r="F629" s="15" t="s">
        <v>99</v>
      </c>
      <c r="G629" s="15" t="s">
        <v>52</v>
      </c>
      <c r="H629" s="15" t="s">
        <v>78</v>
      </c>
      <c r="I629" s="15" t="s">
        <v>154</v>
      </c>
      <c r="J629" s="15" t="s">
        <v>155</v>
      </c>
      <c r="K629" s="17" t="n">
        <v>813.94</v>
      </c>
      <c r="L629" s="15" t="n">
        <v>18</v>
      </c>
      <c r="M629" s="18" t="n">
        <v>0</v>
      </c>
      <c r="N629" s="17" t="n">
        <v>677.76</v>
      </c>
      <c r="O629" s="17" t="n">
        <f aca="false">K629*L629*(1-M629)</f>
        <v>14650.92</v>
      </c>
      <c r="P629" s="17" t="n">
        <f aca="false">N629*L629</f>
        <v>12199.68</v>
      </c>
      <c r="Q629" s="17" t="n">
        <f aca="false">O629-P629</f>
        <v>2451.24</v>
      </c>
      <c r="R629" s="15" t="s">
        <v>46</v>
      </c>
      <c r="S629" s="15" t="s">
        <v>47</v>
      </c>
    </row>
    <row r="630" customFormat="false" ht="15" hidden="false" customHeight="true" outlineLevel="0" collapsed="false">
      <c r="A630" s="11" t="s">
        <v>766</v>
      </c>
      <c r="B630" s="12" t="n">
        <v>45738</v>
      </c>
      <c r="C630" s="11" t="s">
        <v>74</v>
      </c>
      <c r="D630" s="11" t="s">
        <v>171</v>
      </c>
      <c r="E630" s="11" t="s">
        <v>172</v>
      </c>
      <c r="F630" s="11" t="s">
        <v>123</v>
      </c>
      <c r="G630" s="11" t="s">
        <v>42</v>
      </c>
      <c r="H630" s="11" t="s">
        <v>43</v>
      </c>
      <c r="I630" s="11" t="s">
        <v>61</v>
      </c>
      <c r="J630" s="11" t="s">
        <v>62</v>
      </c>
      <c r="K630" s="13" t="n">
        <v>432.48</v>
      </c>
      <c r="L630" s="11" t="n">
        <v>8</v>
      </c>
      <c r="M630" s="14" t="n">
        <v>0.1</v>
      </c>
      <c r="N630" s="13" t="n">
        <v>150.53</v>
      </c>
      <c r="O630" s="13" t="n">
        <f aca="false">K630*L630*(1-M630)</f>
        <v>3113.856</v>
      </c>
      <c r="P630" s="13" t="n">
        <f aca="false">N630*L630</f>
        <v>1204.24</v>
      </c>
      <c r="Q630" s="13" t="n">
        <f aca="false">O630-P630</f>
        <v>1909.616</v>
      </c>
      <c r="R630" s="11" t="s">
        <v>46</v>
      </c>
      <c r="S630" s="11" t="s">
        <v>47</v>
      </c>
    </row>
    <row r="631" customFormat="false" ht="15" hidden="false" customHeight="true" outlineLevel="0" collapsed="false">
      <c r="A631" s="15" t="s">
        <v>767</v>
      </c>
      <c r="B631" s="16" t="n">
        <v>45738</v>
      </c>
      <c r="C631" s="15" t="s">
        <v>49</v>
      </c>
      <c r="D631" s="15" t="s">
        <v>50</v>
      </c>
      <c r="E631" s="15" t="s">
        <v>50</v>
      </c>
      <c r="F631" s="15" t="s">
        <v>51</v>
      </c>
      <c r="G631" s="15" t="s">
        <v>77</v>
      </c>
      <c r="H631" s="15" t="s">
        <v>78</v>
      </c>
      <c r="I631" s="15" t="s">
        <v>143</v>
      </c>
      <c r="J631" s="15" t="s">
        <v>144</v>
      </c>
      <c r="K631" s="17" t="n">
        <v>1488</v>
      </c>
      <c r="L631" s="15" t="n">
        <v>10</v>
      </c>
      <c r="M631" s="18" t="n">
        <v>0</v>
      </c>
      <c r="N631" s="17" t="n">
        <v>1196.03</v>
      </c>
      <c r="O631" s="17" t="n">
        <f aca="false">K631*L631*(1-M631)</f>
        <v>14880</v>
      </c>
      <c r="P631" s="17" t="n">
        <f aca="false">N631*L631</f>
        <v>11960.3</v>
      </c>
      <c r="Q631" s="17" t="n">
        <f aca="false">O631-P631</f>
        <v>2919.7</v>
      </c>
      <c r="R631" s="15" t="s">
        <v>71</v>
      </c>
      <c r="S631" s="15" t="s">
        <v>47</v>
      </c>
    </row>
    <row r="632" customFormat="false" ht="15" hidden="false" customHeight="true" outlineLevel="0" collapsed="false">
      <c r="A632" s="11" t="s">
        <v>768</v>
      </c>
      <c r="B632" s="12" t="n">
        <v>45738</v>
      </c>
      <c r="C632" s="11" t="s">
        <v>74</v>
      </c>
      <c r="D632" s="11" t="s">
        <v>171</v>
      </c>
      <c r="E632" s="11" t="s">
        <v>172</v>
      </c>
      <c r="F632" s="11" t="s">
        <v>109</v>
      </c>
      <c r="G632" s="11" t="s">
        <v>126</v>
      </c>
      <c r="H632" s="11" t="s">
        <v>43</v>
      </c>
      <c r="I632" s="11" t="s">
        <v>44</v>
      </c>
      <c r="J632" s="11" t="s">
        <v>106</v>
      </c>
      <c r="K632" s="13" t="n">
        <v>508.8</v>
      </c>
      <c r="L632" s="11" t="n">
        <v>15</v>
      </c>
      <c r="M632" s="14" t="n">
        <v>0.1</v>
      </c>
      <c r="N632" s="13" t="n">
        <v>159.65</v>
      </c>
      <c r="O632" s="13" t="n">
        <f aca="false">K632*L632*(1-M632)</f>
        <v>6868.8</v>
      </c>
      <c r="P632" s="13" t="n">
        <f aca="false">N632*L632</f>
        <v>2394.75</v>
      </c>
      <c r="Q632" s="13" t="n">
        <f aca="false">O632-P632</f>
        <v>4474.05</v>
      </c>
      <c r="R632" s="11" t="s">
        <v>114</v>
      </c>
      <c r="S632" s="11" t="s">
        <v>47</v>
      </c>
    </row>
    <row r="633" customFormat="false" ht="15" hidden="false" customHeight="true" outlineLevel="0" collapsed="false">
      <c r="A633" s="15" t="s">
        <v>769</v>
      </c>
      <c r="B633" s="16" t="n">
        <v>45739</v>
      </c>
      <c r="C633" s="15" t="s">
        <v>74</v>
      </c>
      <c r="D633" s="15" t="s">
        <v>75</v>
      </c>
      <c r="E633" s="15" t="s">
        <v>76</v>
      </c>
      <c r="F633" s="15" t="s">
        <v>51</v>
      </c>
      <c r="G633" s="15" t="s">
        <v>77</v>
      </c>
      <c r="H633" s="15" t="s">
        <v>53</v>
      </c>
      <c r="I633" s="15" t="s">
        <v>54</v>
      </c>
      <c r="J633" s="15" t="s">
        <v>113</v>
      </c>
      <c r="K633" s="17" t="n">
        <v>14.46</v>
      </c>
      <c r="L633" s="15" t="n">
        <v>158</v>
      </c>
      <c r="M633" s="18" t="n">
        <v>0.1</v>
      </c>
      <c r="N633" s="17" t="n">
        <v>9.15</v>
      </c>
      <c r="O633" s="17" t="n">
        <f aca="false">K633*L633*(1-M633)</f>
        <v>2056.212</v>
      </c>
      <c r="P633" s="17" t="n">
        <f aca="false">N633*L633</f>
        <v>1445.7</v>
      </c>
      <c r="Q633" s="17" t="n">
        <f aca="false">O633-P633</f>
        <v>610.512</v>
      </c>
      <c r="R633" s="15" t="s">
        <v>114</v>
      </c>
      <c r="S633" s="15" t="s">
        <v>47</v>
      </c>
    </row>
    <row r="634" customFormat="false" ht="15" hidden="false" customHeight="true" outlineLevel="0" collapsed="false">
      <c r="A634" s="11" t="s">
        <v>770</v>
      </c>
      <c r="B634" s="12" t="n">
        <v>45739</v>
      </c>
      <c r="C634" s="11" t="s">
        <v>49</v>
      </c>
      <c r="D634" s="11" t="s">
        <v>97</v>
      </c>
      <c r="E634" s="11" t="s">
        <v>108</v>
      </c>
      <c r="F634" s="11" t="s">
        <v>41</v>
      </c>
      <c r="G634" s="11" t="s">
        <v>52</v>
      </c>
      <c r="H634" s="11" t="s">
        <v>78</v>
      </c>
      <c r="I634" s="11" t="s">
        <v>143</v>
      </c>
      <c r="J634" s="11" t="s">
        <v>158</v>
      </c>
      <c r="K634" s="13" t="n">
        <v>809.04</v>
      </c>
      <c r="L634" s="11" t="n">
        <v>5</v>
      </c>
      <c r="M634" s="14" t="n">
        <v>0.15</v>
      </c>
      <c r="N634" s="13" t="n">
        <v>692.8</v>
      </c>
      <c r="O634" s="13" t="n">
        <f aca="false">K634*L634*(1-M634)</f>
        <v>3438.42</v>
      </c>
      <c r="P634" s="13" t="n">
        <f aca="false">N634*L634</f>
        <v>3464</v>
      </c>
      <c r="Q634" s="13" t="n">
        <f aca="false">O634-P634</f>
        <v>-25.5800000000004</v>
      </c>
      <c r="R634" s="11" t="s">
        <v>63</v>
      </c>
      <c r="S634" s="11" t="s">
        <v>47</v>
      </c>
    </row>
    <row r="635" customFormat="false" ht="15" hidden="false" customHeight="true" outlineLevel="0" collapsed="false">
      <c r="A635" s="15" t="s">
        <v>771</v>
      </c>
      <c r="B635" s="16" t="n">
        <v>45739</v>
      </c>
      <c r="C635" s="15" t="s">
        <v>49</v>
      </c>
      <c r="D635" s="15" t="s">
        <v>97</v>
      </c>
      <c r="E635" s="15" t="s">
        <v>112</v>
      </c>
      <c r="F635" s="15" t="s">
        <v>68</v>
      </c>
      <c r="G635" s="15" t="s">
        <v>42</v>
      </c>
      <c r="H635" s="15" t="s">
        <v>84</v>
      </c>
      <c r="I635" s="15" t="s">
        <v>136</v>
      </c>
      <c r="J635" s="15" t="s">
        <v>247</v>
      </c>
      <c r="K635" s="17" t="n">
        <v>1038.44</v>
      </c>
      <c r="L635" s="15" t="n">
        <v>9</v>
      </c>
      <c r="M635" s="18" t="n">
        <v>0</v>
      </c>
      <c r="N635" s="17" t="n">
        <v>803.26</v>
      </c>
      <c r="O635" s="17" t="n">
        <f aca="false">K635*L635*(1-M635)</f>
        <v>9345.96</v>
      </c>
      <c r="P635" s="17" t="n">
        <f aca="false">N635*L635</f>
        <v>7229.34</v>
      </c>
      <c r="Q635" s="17" t="n">
        <f aca="false">O635-P635</f>
        <v>2116.62</v>
      </c>
      <c r="R635" s="15" t="s">
        <v>46</v>
      </c>
      <c r="S635" s="15" t="s">
        <v>47</v>
      </c>
    </row>
    <row r="636" customFormat="false" ht="15" hidden="false" customHeight="true" outlineLevel="0" collapsed="false">
      <c r="A636" s="11" t="s">
        <v>772</v>
      </c>
      <c r="B636" s="12" t="n">
        <v>45739</v>
      </c>
      <c r="C636" s="11" t="s">
        <v>65</v>
      </c>
      <c r="D636" s="11" t="s">
        <v>82</v>
      </c>
      <c r="E636" s="11" t="s">
        <v>83</v>
      </c>
      <c r="F636" s="11" t="s">
        <v>99</v>
      </c>
      <c r="G636" s="11" t="s">
        <v>42</v>
      </c>
      <c r="H636" s="11" t="s">
        <v>53</v>
      </c>
      <c r="I636" s="11" t="s">
        <v>94</v>
      </c>
      <c r="J636" s="11" t="s">
        <v>95</v>
      </c>
      <c r="K636" s="13" t="n">
        <v>26.95</v>
      </c>
      <c r="L636" s="11" t="n">
        <v>95</v>
      </c>
      <c r="M636" s="14" t="n">
        <v>0</v>
      </c>
      <c r="N636" s="13" t="n">
        <v>18.21</v>
      </c>
      <c r="O636" s="13" t="n">
        <f aca="false">K636*L636*(1-M636)</f>
        <v>2560.25</v>
      </c>
      <c r="P636" s="13" t="n">
        <f aca="false">N636*L636</f>
        <v>1729.95</v>
      </c>
      <c r="Q636" s="13" t="n">
        <f aca="false">O636-P636</f>
        <v>830.3</v>
      </c>
      <c r="R636" s="11" t="s">
        <v>114</v>
      </c>
      <c r="S636" s="11" t="s">
        <v>47</v>
      </c>
    </row>
    <row r="637" customFormat="false" ht="15" hidden="false" customHeight="true" outlineLevel="0" collapsed="false">
      <c r="A637" s="15" t="s">
        <v>773</v>
      </c>
      <c r="B637" s="16" t="n">
        <v>45740</v>
      </c>
      <c r="C637" s="15" t="s">
        <v>49</v>
      </c>
      <c r="D637" s="15" t="s">
        <v>97</v>
      </c>
      <c r="E637" s="15" t="s">
        <v>112</v>
      </c>
      <c r="F637" s="15" t="s">
        <v>60</v>
      </c>
      <c r="G637" s="15" t="s">
        <v>77</v>
      </c>
      <c r="H637" s="15" t="s">
        <v>84</v>
      </c>
      <c r="I637" s="15" t="s">
        <v>100</v>
      </c>
      <c r="J637" s="15" t="s">
        <v>101</v>
      </c>
      <c r="K637" s="17" t="n">
        <v>1738.3</v>
      </c>
      <c r="L637" s="15" t="n">
        <v>5</v>
      </c>
      <c r="M637" s="18" t="n">
        <v>0.2</v>
      </c>
      <c r="N637" s="17" t="n">
        <v>1409.05</v>
      </c>
      <c r="O637" s="17" t="n">
        <f aca="false">K637*L637*(1-M637)</f>
        <v>6953.2</v>
      </c>
      <c r="P637" s="17" t="n">
        <f aca="false">N637*L637</f>
        <v>7045.25</v>
      </c>
      <c r="Q637" s="17" t="n">
        <f aca="false">O637-P637</f>
        <v>-92.0499999999993</v>
      </c>
      <c r="R637" s="15" t="s">
        <v>167</v>
      </c>
      <c r="S637" s="15" t="s">
        <v>47</v>
      </c>
    </row>
    <row r="638" customFormat="false" ht="15" hidden="false" customHeight="true" outlineLevel="0" collapsed="false">
      <c r="A638" s="11" t="s">
        <v>774</v>
      </c>
      <c r="B638" s="12" t="n">
        <v>45740</v>
      </c>
      <c r="C638" s="11" t="s">
        <v>49</v>
      </c>
      <c r="D638" s="11" t="s">
        <v>97</v>
      </c>
      <c r="E638" s="11" t="s">
        <v>112</v>
      </c>
      <c r="F638" s="11" t="s">
        <v>99</v>
      </c>
      <c r="G638" s="11" t="s">
        <v>42</v>
      </c>
      <c r="H638" s="11" t="s">
        <v>53</v>
      </c>
      <c r="I638" s="11" t="s">
        <v>94</v>
      </c>
      <c r="J638" s="11" t="s">
        <v>131</v>
      </c>
      <c r="K638" s="13" t="n">
        <v>54.93</v>
      </c>
      <c r="L638" s="11" t="n">
        <v>64</v>
      </c>
      <c r="M638" s="14" t="n">
        <v>0.1</v>
      </c>
      <c r="N638" s="13" t="n">
        <v>30.47</v>
      </c>
      <c r="O638" s="13" t="n">
        <f aca="false">K638*L638*(1-M638)</f>
        <v>3163.968</v>
      </c>
      <c r="P638" s="13" t="n">
        <f aca="false">N638*L638</f>
        <v>1950.08</v>
      </c>
      <c r="Q638" s="13" t="n">
        <f aca="false">O638-P638</f>
        <v>1213.888</v>
      </c>
      <c r="R638" s="11" t="s">
        <v>46</v>
      </c>
      <c r="S638" s="11" t="s">
        <v>47</v>
      </c>
    </row>
    <row r="639" customFormat="false" ht="15" hidden="false" customHeight="true" outlineLevel="0" collapsed="false">
      <c r="A639" s="15" t="s">
        <v>775</v>
      </c>
      <c r="B639" s="16" t="n">
        <v>45740</v>
      </c>
      <c r="C639" s="15" t="s">
        <v>49</v>
      </c>
      <c r="D639" s="15" t="s">
        <v>152</v>
      </c>
      <c r="E639" s="15" t="s">
        <v>152</v>
      </c>
      <c r="F639" s="15" t="s">
        <v>109</v>
      </c>
      <c r="G639" s="15" t="s">
        <v>77</v>
      </c>
      <c r="H639" s="15" t="s">
        <v>78</v>
      </c>
      <c r="I639" s="15" t="s">
        <v>79</v>
      </c>
      <c r="J639" s="15" t="s">
        <v>242</v>
      </c>
      <c r="K639" s="17" t="n">
        <v>4343.8</v>
      </c>
      <c r="L639" s="15" t="n">
        <v>10</v>
      </c>
      <c r="M639" s="18" t="n">
        <v>0.1</v>
      </c>
      <c r="N639" s="17" t="n">
        <v>3780.55</v>
      </c>
      <c r="O639" s="17" t="n">
        <f aca="false">K639*L639*(1-M639)</f>
        <v>39094.2</v>
      </c>
      <c r="P639" s="17" t="n">
        <f aca="false">N639*L639</f>
        <v>37805.5</v>
      </c>
      <c r="Q639" s="17" t="n">
        <f aca="false">O639-P639</f>
        <v>1288.7</v>
      </c>
      <c r="R639" s="15" t="s">
        <v>114</v>
      </c>
      <c r="S639" s="15" t="s">
        <v>47</v>
      </c>
    </row>
    <row r="640" customFormat="false" ht="15" hidden="false" customHeight="true" outlineLevel="0" collapsed="false">
      <c r="A640" s="11" t="s">
        <v>776</v>
      </c>
      <c r="B640" s="12" t="n">
        <v>45741</v>
      </c>
      <c r="C640" s="11" t="s">
        <v>65</v>
      </c>
      <c r="D640" s="11" t="s">
        <v>82</v>
      </c>
      <c r="E640" s="11" t="s">
        <v>83</v>
      </c>
      <c r="F640" s="11" t="s">
        <v>99</v>
      </c>
      <c r="G640" s="11" t="s">
        <v>126</v>
      </c>
      <c r="H640" s="11" t="s">
        <v>84</v>
      </c>
      <c r="I640" s="11" t="s">
        <v>85</v>
      </c>
      <c r="J640" s="11" t="s">
        <v>90</v>
      </c>
      <c r="K640" s="13" t="n">
        <v>685.23</v>
      </c>
      <c r="L640" s="11" t="n">
        <v>12</v>
      </c>
      <c r="M640" s="14" t="n">
        <v>0</v>
      </c>
      <c r="N640" s="13" t="n">
        <v>525.72</v>
      </c>
      <c r="O640" s="13" t="n">
        <f aca="false">K640*L640*(1-M640)</f>
        <v>8222.76</v>
      </c>
      <c r="P640" s="13" t="n">
        <f aca="false">N640*L640</f>
        <v>6308.64</v>
      </c>
      <c r="Q640" s="13" t="n">
        <f aca="false">O640-P640</f>
        <v>1914.12</v>
      </c>
      <c r="R640" s="11" t="s">
        <v>114</v>
      </c>
      <c r="S640" s="11" t="s">
        <v>47</v>
      </c>
    </row>
    <row r="641" customFormat="false" ht="15" hidden="false" customHeight="true" outlineLevel="0" collapsed="false">
      <c r="A641" s="15" t="s">
        <v>777</v>
      </c>
      <c r="B641" s="16" t="n">
        <v>45742</v>
      </c>
      <c r="C641" s="15" t="s">
        <v>74</v>
      </c>
      <c r="D641" s="15" t="s">
        <v>171</v>
      </c>
      <c r="E641" s="15" t="s">
        <v>172</v>
      </c>
      <c r="F641" s="15" t="s">
        <v>51</v>
      </c>
      <c r="G641" s="15" t="s">
        <v>42</v>
      </c>
      <c r="H641" s="15" t="s">
        <v>84</v>
      </c>
      <c r="I641" s="15" t="s">
        <v>136</v>
      </c>
      <c r="J641" s="15" t="s">
        <v>247</v>
      </c>
      <c r="K641" s="17" t="n">
        <v>762.73</v>
      </c>
      <c r="L641" s="15" t="n">
        <v>9</v>
      </c>
      <c r="M641" s="18" t="n">
        <v>0</v>
      </c>
      <c r="N641" s="17" t="n">
        <v>602</v>
      </c>
      <c r="O641" s="17" t="n">
        <f aca="false">K641*L641*(1-M641)</f>
        <v>6864.57</v>
      </c>
      <c r="P641" s="17" t="n">
        <f aca="false">N641*L641</f>
        <v>5418</v>
      </c>
      <c r="Q641" s="17" t="n">
        <f aca="false">O641-P641</f>
        <v>1446.57</v>
      </c>
      <c r="R641" s="15" t="s">
        <v>114</v>
      </c>
      <c r="S641" s="15" t="s">
        <v>72</v>
      </c>
    </row>
    <row r="642" customFormat="false" ht="15" hidden="false" customHeight="true" outlineLevel="0" collapsed="false">
      <c r="A642" s="11" t="s">
        <v>778</v>
      </c>
      <c r="B642" s="12" t="n">
        <v>45742</v>
      </c>
      <c r="C642" s="11" t="s">
        <v>65</v>
      </c>
      <c r="D642" s="11" t="s">
        <v>82</v>
      </c>
      <c r="E642" s="11" t="s">
        <v>83</v>
      </c>
      <c r="F642" s="11" t="s">
        <v>177</v>
      </c>
      <c r="G642" s="11" t="s">
        <v>126</v>
      </c>
      <c r="H642" s="11" t="s">
        <v>78</v>
      </c>
      <c r="I642" s="11" t="s">
        <v>120</v>
      </c>
      <c r="J642" s="11" t="s">
        <v>121</v>
      </c>
      <c r="K642" s="13" t="n">
        <v>365.74</v>
      </c>
      <c r="L642" s="11" t="n">
        <v>63</v>
      </c>
      <c r="M642" s="14" t="n">
        <v>0</v>
      </c>
      <c r="N642" s="13" t="n">
        <v>292.83</v>
      </c>
      <c r="O642" s="13" t="n">
        <f aca="false">K642*L642*(1-M642)</f>
        <v>23041.62</v>
      </c>
      <c r="P642" s="13" t="n">
        <f aca="false">N642*L642</f>
        <v>18448.29</v>
      </c>
      <c r="Q642" s="13" t="n">
        <f aca="false">O642-P642</f>
        <v>4593.33</v>
      </c>
      <c r="R642" s="11" t="s">
        <v>46</v>
      </c>
      <c r="S642" s="11" t="s">
        <v>47</v>
      </c>
    </row>
    <row r="643" customFormat="false" ht="15" hidden="false" customHeight="true" outlineLevel="0" collapsed="false">
      <c r="A643" s="15" t="s">
        <v>779</v>
      </c>
      <c r="B643" s="16" t="n">
        <v>45742</v>
      </c>
      <c r="C643" s="15" t="s">
        <v>38</v>
      </c>
      <c r="D643" s="15" t="s">
        <v>39</v>
      </c>
      <c r="E643" s="15" t="s">
        <v>40</v>
      </c>
      <c r="F643" s="15" t="s">
        <v>60</v>
      </c>
      <c r="G643" s="15" t="s">
        <v>52</v>
      </c>
      <c r="H643" s="15" t="s">
        <v>43</v>
      </c>
      <c r="I643" s="15" t="s">
        <v>61</v>
      </c>
      <c r="J643" s="15" t="s">
        <v>62</v>
      </c>
      <c r="K643" s="17" t="n">
        <v>302.41</v>
      </c>
      <c r="L643" s="15" t="n">
        <v>5</v>
      </c>
      <c r="M643" s="18" t="n">
        <v>0.1</v>
      </c>
      <c r="N643" s="17" t="n">
        <v>123.29</v>
      </c>
      <c r="O643" s="17" t="n">
        <f aca="false">K643*L643*(1-M643)</f>
        <v>1360.845</v>
      </c>
      <c r="P643" s="17" t="n">
        <f aca="false">N643*L643</f>
        <v>616.45</v>
      </c>
      <c r="Q643" s="17" t="n">
        <f aca="false">O643-P643</f>
        <v>744.395</v>
      </c>
      <c r="R643" s="15" t="s">
        <v>46</v>
      </c>
      <c r="S643" s="15" t="s">
        <v>72</v>
      </c>
    </row>
    <row r="644" customFormat="false" ht="15" hidden="false" customHeight="true" outlineLevel="0" collapsed="false">
      <c r="A644" s="11" t="s">
        <v>780</v>
      </c>
      <c r="B644" s="12" t="n">
        <v>45742</v>
      </c>
      <c r="C644" s="11" t="s">
        <v>74</v>
      </c>
      <c r="D644" s="11" t="s">
        <v>171</v>
      </c>
      <c r="E644" s="11" t="s">
        <v>172</v>
      </c>
      <c r="F644" s="11" t="s">
        <v>60</v>
      </c>
      <c r="G644" s="11" t="s">
        <v>126</v>
      </c>
      <c r="H644" s="11" t="s">
        <v>43</v>
      </c>
      <c r="I644" s="11" t="s">
        <v>44</v>
      </c>
      <c r="J644" s="11" t="s">
        <v>45</v>
      </c>
      <c r="K644" s="13" t="n">
        <v>129.84</v>
      </c>
      <c r="L644" s="11" t="n">
        <v>58</v>
      </c>
      <c r="M644" s="14" t="n">
        <v>0</v>
      </c>
      <c r="N644" s="13" t="n">
        <v>37</v>
      </c>
      <c r="O644" s="13" t="n">
        <f aca="false">K644*L644*(1-M644)</f>
        <v>7530.72</v>
      </c>
      <c r="P644" s="13" t="n">
        <f aca="false">N644*L644</f>
        <v>2146</v>
      </c>
      <c r="Q644" s="13" t="n">
        <f aca="false">O644-P644</f>
        <v>5384.72</v>
      </c>
      <c r="R644" s="11" t="s">
        <v>63</v>
      </c>
      <c r="S644" s="11" t="s">
        <v>72</v>
      </c>
    </row>
    <row r="645" customFormat="false" ht="15" hidden="false" customHeight="true" outlineLevel="0" collapsed="false">
      <c r="A645" s="15" t="s">
        <v>781</v>
      </c>
      <c r="B645" s="16" t="n">
        <v>45742</v>
      </c>
      <c r="C645" s="15" t="s">
        <v>49</v>
      </c>
      <c r="D645" s="15" t="s">
        <v>50</v>
      </c>
      <c r="E645" s="15" t="s">
        <v>50</v>
      </c>
      <c r="F645" s="15" t="s">
        <v>123</v>
      </c>
      <c r="G645" s="15" t="s">
        <v>42</v>
      </c>
      <c r="H645" s="15" t="s">
        <v>43</v>
      </c>
      <c r="I645" s="15" t="s">
        <v>61</v>
      </c>
      <c r="J645" s="15" t="s">
        <v>62</v>
      </c>
      <c r="K645" s="17" t="n">
        <v>469.82</v>
      </c>
      <c r="L645" s="15" t="n">
        <v>32</v>
      </c>
      <c r="M645" s="18" t="n">
        <v>0.1</v>
      </c>
      <c r="N645" s="17" t="n">
        <v>175.25</v>
      </c>
      <c r="O645" s="17" t="n">
        <f aca="false">K645*L645*(1-M645)</f>
        <v>13530.816</v>
      </c>
      <c r="P645" s="17" t="n">
        <f aca="false">N645*L645</f>
        <v>5608</v>
      </c>
      <c r="Q645" s="17" t="n">
        <f aca="false">O645-P645</f>
        <v>7922.816</v>
      </c>
      <c r="R645" s="15" t="s">
        <v>46</v>
      </c>
      <c r="S645" s="15" t="s">
        <v>72</v>
      </c>
    </row>
    <row r="646" customFormat="false" ht="15" hidden="false" customHeight="true" outlineLevel="0" collapsed="false">
      <c r="A646" s="11" t="s">
        <v>782</v>
      </c>
      <c r="B646" s="12" t="n">
        <v>45743</v>
      </c>
      <c r="C646" s="11" t="s">
        <v>74</v>
      </c>
      <c r="D646" s="11" t="s">
        <v>171</v>
      </c>
      <c r="E646" s="11" t="s">
        <v>172</v>
      </c>
      <c r="F646" s="11" t="s">
        <v>135</v>
      </c>
      <c r="G646" s="11" t="s">
        <v>52</v>
      </c>
      <c r="H646" s="11" t="s">
        <v>43</v>
      </c>
      <c r="I646" s="11" t="s">
        <v>61</v>
      </c>
      <c r="J646" s="11" t="s">
        <v>62</v>
      </c>
      <c r="K646" s="13" t="n">
        <v>350.63</v>
      </c>
      <c r="L646" s="11" t="n">
        <v>6</v>
      </c>
      <c r="M646" s="14" t="n">
        <v>0</v>
      </c>
      <c r="N646" s="13" t="n">
        <v>160.95</v>
      </c>
      <c r="O646" s="13" t="n">
        <f aca="false">K646*L646*(1-M646)</f>
        <v>2103.78</v>
      </c>
      <c r="P646" s="13" t="n">
        <f aca="false">N646*L646</f>
        <v>965.7</v>
      </c>
      <c r="Q646" s="13" t="n">
        <f aca="false">O646-P646</f>
        <v>1138.08</v>
      </c>
      <c r="R646" s="11" t="s">
        <v>114</v>
      </c>
      <c r="S646" s="11" t="s">
        <v>47</v>
      </c>
    </row>
    <row r="647" customFormat="false" ht="15" hidden="false" customHeight="true" outlineLevel="0" collapsed="false">
      <c r="A647" s="15" t="s">
        <v>783</v>
      </c>
      <c r="B647" s="16" t="n">
        <v>45743</v>
      </c>
      <c r="C647" s="15" t="s">
        <v>74</v>
      </c>
      <c r="D647" s="15" t="s">
        <v>75</v>
      </c>
      <c r="E647" s="15" t="s">
        <v>76</v>
      </c>
      <c r="F647" s="15" t="s">
        <v>135</v>
      </c>
      <c r="G647" s="15" t="s">
        <v>130</v>
      </c>
      <c r="H647" s="15" t="s">
        <v>43</v>
      </c>
      <c r="I647" s="15" t="s">
        <v>61</v>
      </c>
      <c r="J647" s="15" t="s">
        <v>147</v>
      </c>
      <c r="K647" s="17" t="n">
        <v>389.86</v>
      </c>
      <c r="L647" s="15" t="n">
        <v>18</v>
      </c>
      <c r="M647" s="18" t="n">
        <v>0</v>
      </c>
      <c r="N647" s="17" t="n">
        <v>139.44</v>
      </c>
      <c r="O647" s="17" t="n">
        <f aca="false">K647*L647*(1-M647)</f>
        <v>7017.48</v>
      </c>
      <c r="P647" s="17" t="n">
        <f aca="false">N647*L647</f>
        <v>2509.92</v>
      </c>
      <c r="Q647" s="17" t="n">
        <f aca="false">O647-P647</f>
        <v>4507.56</v>
      </c>
      <c r="R647" s="15" t="s">
        <v>46</v>
      </c>
      <c r="S647" s="15" t="s">
        <v>47</v>
      </c>
    </row>
    <row r="648" customFormat="false" ht="15" hidden="false" customHeight="true" outlineLevel="0" collapsed="false">
      <c r="A648" s="11" t="s">
        <v>784</v>
      </c>
      <c r="B648" s="12" t="n">
        <v>45744</v>
      </c>
      <c r="C648" s="11" t="s">
        <v>49</v>
      </c>
      <c r="D648" s="11" t="s">
        <v>97</v>
      </c>
      <c r="E648" s="11" t="s">
        <v>108</v>
      </c>
      <c r="F648" s="11" t="s">
        <v>118</v>
      </c>
      <c r="G648" s="11" t="s">
        <v>42</v>
      </c>
      <c r="H648" s="11" t="s">
        <v>53</v>
      </c>
      <c r="I648" s="11" t="s">
        <v>94</v>
      </c>
      <c r="J648" s="11" t="s">
        <v>131</v>
      </c>
      <c r="K648" s="13" t="n">
        <v>35.5</v>
      </c>
      <c r="L648" s="11" t="n">
        <v>84</v>
      </c>
      <c r="M648" s="14" t="n">
        <v>0.15</v>
      </c>
      <c r="N648" s="13" t="n">
        <v>20.21</v>
      </c>
      <c r="O648" s="13" t="n">
        <f aca="false">K648*L648*(1-M648)</f>
        <v>2534.7</v>
      </c>
      <c r="P648" s="13" t="n">
        <f aca="false">N648*L648</f>
        <v>1697.64</v>
      </c>
      <c r="Q648" s="13" t="n">
        <f aca="false">O648-P648</f>
        <v>837.06</v>
      </c>
      <c r="R648" s="11" t="s">
        <v>46</v>
      </c>
      <c r="S648" s="11" t="s">
        <v>72</v>
      </c>
    </row>
    <row r="649" customFormat="false" ht="15" hidden="false" customHeight="true" outlineLevel="0" collapsed="false">
      <c r="A649" s="15" t="s">
        <v>785</v>
      </c>
      <c r="B649" s="16" t="n">
        <v>45745</v>
      </c>
      <c r="C649" s="15" t="s">
        <v>38</v>
      </c>
      <c r="D649" s="15" t="s">
        <v>88</v>
      </c>
      <c r="E649" s="15" t="s">
        <v>89</v>
      </c>
      <c r="F649" s="15" t="s">
        <v>109</v>
      </c>
      <c r="G649" s="15" t="s">
        <v>126</v>
      </c>
      <c r="H649" s="15" t="s">
        <v>53</v>
      </c>
      <c r="I649" s="15" t="s">
        <v>69</v>
      </c>
      <c r="J649" s="15" t="s">
        <v>70</v>
      </c>
      <c r="K649" s="17" t="n">
        <v>27.4</v>
      </c>
      <c r="L649" s="15" t="n">
        <v>71</v>
      </c>
      <c r="M649" s="18" t="n">
        <v>0.1</v>
      </c>
      <c r="N649" s="17" t="n">
        <v>17.9</v>
      </c>
      <c r="O649" s="17" t="n">
        <f aca="false">K649*L649*(1-M649)</f>
        <v>1750.86</v>
      </c>
      <c r="P649" s="17" t="n">
        <f aca="false">N649*L649</f>
        <v>1270.9</v>
      </c>
      <c r="Q649" s="17" t="n">
        <f aca="false">O649-P649</f>
        <v>479.96</v>
      </c>
      <c r="R649" s="15" t="s">
        <v>114</v>
      </c>
      <c r="S649" s="15" t="s">
        <v>47</v>
      </c>
    </row>
    <row r="650" customFormat="false" ht="15" hidden="false" customHeight="true" outlineLevel="0" collapsed="false">
      <c r="A650" s="11" t="s">
        <v>786</v>
      </c>
      <c r="B650" s="12" t="n">
        <v>45745</v>
      </c>
      <c r="C650" s="11" t="s">
        <v>74</v>
      </c>
      <c r="D650" s="11" t="s">
        <v>75</v>
      </c>
      <c r="E650" s="11" t="s">
        <v>76</v>
      </c>
      <c r="F650" s="11" t="s">
        <v>41</v>
      </c>
      <c r="G650" s="11" t="s">
        <v>42</v>
      </c>
      <c r="H650" s="11" t="s">
        <v>43</v>
      </c>
      <c r="I650" s="11" t="s">
        <v>44</v>
      </c>
      <c r="J650" s="11" t="s">
        <v>45</v>
      </c>
      <c r="K650" s="13" t="n">
        <v>162.08</v>
      </c>
      <c r="L650" s="11" t="n">
        <v>22</v>
      </c>
      <c r="M650" s="14" t="n">
        <v>0.15</v>
      </c>
      <c r="N650" s="13" t="n">
        <v>57.92</v>
      </c>
      <c r="O650" s="13" t="n">
        <f aca="false">K650*L650*(1-M650)</f>
        <v>3030.896</v>
      </c>
      <c r="P650" s="13" t="n">
        <f aca="false">N650*L650</f>
        <v>1274.24</v>
      </c>
      <c r="Q650" s="13" t="n">
        <f aca="false">O650-P650</f>
        <v>1756.656</v>
      </c>
      <c r="R650" s="11" t="s">
        <v>167</v>
      </c>
      <c r="S650" s="11" t="s">
        <v>47</v>
      </c>
    </row>
    <row r="651" customFormat="false" ht="15" hidden="false" customHeight="true" outlineLevel="0" collapsed="false">
      <c r="A651" s="15" t="s">
        <v>787</v>
      </c>
      <c r="B651" s="16" t="n">
        <v>45745</v>
      </c>
      <c r="C651" s="15" t="s">
        <v>49</v>
      </c>
      <c r="D651" s="15" t="s">
        <v>50</v>
      </c>
      <c r="E651" s="15" t="s">
        <v>50</v>
      </c>
      <c r="F651" s="15" t="s">
        <v>68</v>
      </c>
      <c r="G651" s="15" t="s">
        <v>52</v>
      </c>
      <c r="H651" s="15" t="s">
        <v>78</v>
      </c>
      <c r="I651" s="15" t="s">
        <v>143</v>
      </c>
      <c r="J651" s="15" t="s">
        <v>144</v>
      </c>
      <c r="K651" s="17" t="n">
        <v>1143.03</v>
      </c>
      <c r="L651" s="15" t="n">
        <v>2</v>
      </c>
      <c r="M651" s="18" t="n">
        <v>0.05</v>
      </c>
      <c r="N651" s="17" t="n">
        <v>950.22</v>
      </c>
      <c r="O651" s="17" t="n">
        <f aca="false">K651*L651*(1-M651)</f>
        <v>2171.757</v>
      </c>
      <c r="P651" s="17" t="n">
        <f aca="false">N651*L651</f>
        <v>1900.44</v>
      </c>
      <c r="Q651" s="17" t="n">
        <f aca="false">O651-P651</f>
        <v>271.317</v>
      </c>
      <c r="R651" s="15" t="s">
        <v>167</v>
      </c>
      <c r="S651" s="15" t="s">
        <v>47</v>
      </c>
    </row>
    <row r="652" customFormat="false" ht="15" hidden="false" customHeight="true" outlineLevel="0" collapsed="false">
      <c r="A652" s="11" t="s">
        <v>788</v>
      </c>
      <c r="B652" s="12" t="n">
        <v>45746</v>
      </c>
      <c r="C652" s="11" t="s">
        <v>65</v>
      </c>
      <c r="D652" s="11" t="s">
        <v>82</v>
      </c>
      <c r="E652" s="11" t="s">
        <v>83</v>
      </c>
      <c r="F652" s="11" t="s">
        <v>109</v>
      </c>
      <c r="G652" s="11" t="s">
        <v>42</v>
      </c>
      <c r="H652" s="11" t="s">
        <v>78</v>
      </c>
      <c r="I652" s="11" t="s">
        <v>79</v>
      </c>
      <c r="J652" s="11" t="s">
        <v>242</v>
      </c>
      <c r="K652" s="13" t="n">
        <v>4671.35</v>
      </c>
      <c r="L652" s="11" t="n">
        <v>8</v>
      </c>
      <c r="M652" s="14" t="n">
        <v>0.05</v>
      </c>
      <c r="N652" s="13" t="n">
        <v>4078.48</v>
      </c>
      <c r="O652" s="13" t="n">
        <f aca="false">K652*L652*(1-M652)</f>
        <v>35502.26</v>
      </c>
      <c r="P652" s="13" t="n">
        <f aca="false">N652*L652</f>
        <v>32627.84</v>
      </c>
      <c r="Q652" s="13" t="n">
        <f aca="false">O652-P652</f>
        <v>2874.42</v>
      </c>
      <c r="R652" s="11" t="s">
        <v>46</v>
      </c>
      <c r="S652" s="11" t="s">
        <v>47</v>
      </c>
    </row>
    <row r="653" customFormat="false" ht="15" hidden="false" customHeight="true" outlineLevel="0" collapsed="false">
      <c r="A653" s="15" t="s">
        <v>789</v>
      </c>
      <c r="B653" s="16" t="n">
        <v>45746</v>
      </c>
      <c r="C653" s="15" t="s">
        <v>38</v>
      </c>
      <c r="D653" s="15" t="s">
        <v>92</v>
      </c>
      <c r="E653" s="15" t="s">
        <v>93</v>
      </c>
      <c r="F653" s="15" t="s">
        <v>68</v>
      </c>
      <c r="G653" s="15" t="s">
        <v>52</v>
      </c>
      <c r="H653" s="15" t="s">
        <v>43</v>
      </c>
      <c r="I653" s="15" t="s">
        <v>44</v>
      </c>
      <c r="J653" s="15" t="s">
        <v>106</v>
      </c>
      <c r="K653" s="17" t="n">
        <v>401.05</v>
      </c>
      <c r="L653" s="15" t="n">
        <v>1</v>
      </c>
      <c r="M653" s="18" t="n">
        <v>0</v>
      </c>
      <c r="N653" s="17" t="n">
        <v>141.18</v>
      </c>
      <c r="O653" s="17" t="n">
        <f aca="false">K653*L653*(1-M653)</f>
        <v>401.05</v>
      </c>
      <c r="P653" s="17" t="n">
        <f aca="false">N653*L653</f>
        <v>141.18</v>
      </c>
      <c r="Q653" s="17" t="n">
        <f aca="false">O653-P653</f>
        <v>259.87</v>
      </c>
      <c r="R653" s="15" t="s">
        <v>71</v>
      </c>
      <c r="S653" s="15" t="s">
        <v>47</v>
      </c>
    </row>
    <row r="654" customFormat="false" ht="15" hidden="false" customHeight="true" outlineLevel="0" collapsed="false">
      <c r="A654" s="11" t="s">
        <v>790</v>
      </c>
      <c r="B654" s="12" t="n">
        <v>45747</v>
      </c>
      <c r="C654" s="11" t="s">
        <v>49</v>
      </c>
      <c r="D654" s="11" t="s">
        <v>50</v>
      </c>
      <c r="E654" s="11" t="s">
        <v>50</v>
      </c>
      <c r="F654" s="11" t="s">
        <v>68</v>
      </c>
      <c r="G654" s="11" t="s">
        <v>126</v>
      </c>
      <c r="H654" s="11" t="s">
        <v>78</v>
      </c>
      <c r="I654" s="11" t="s">
        <v>154</v>
      </c>
      <c r="J654" s="11" t="s">
        <v>186</v>
      </c>
      <c r="K654" s="13" t="n">
        <v>731.32</v>
      </c>
      <c r="L654" s="11" t="n">
        <v>6</v>
      </c>
      <c r="M654" s="14" t="n">
        <v>0.05</v>
      </c>
      <c r="N654" s="13" t="n">
        <v>580.22</v>
      </c>
      <c r="O654" s="13" t="n">
        <f aca="false">K654*L654*(1-M654)</f>
        <v>4168.524</v>
      </c>
      <c r="P654" s="13" t="n">
        <f aca="false">N654*L654</f>
        <v>3481.32</v>
      </c>
      <c r="Q654" s="13" t="n">
        <f aca="false">O654-P654</f>
        <v>687.203999999999</v>
      </c>
      <c r="R654" s="11" t="s">
        <v>46</v>
      </c>
      <c r="S654" s="11" t="s">
        <v>47</v>
      </c>
    </row>
    <row r="655" customFormat="false" ht="15" hidden="false" customHeight="true" outlineLevel="0" collapsed="false">
      <c r="A655" s="15" t="s">
        <v>791</v>
      </c>
      <c r="B655" s="16" t="n">
        <v>45748</v>
      </c>
      <c r="C655" s="15" t="s">
        <v>38</v>
      </c>
      <c r="D655" s="15" t="s">
        <v>92</v>
      </c>
      <c r="E655" s="15" t="s">
        <v>93</v>
      </c>
      <c r="F655" s="15" t="s">
        <v>135</v>
      </c>
      <c r="G655" s="15" t="s">
        <v>52</v>
      </c>
      <c r="H655" s="15" t="s">
        <v>53</v>
      </c>
      <c r="I655" s="15" t="s">
        <v>69</v>
      </c>
      <c r="J655" s="15" t="s">
        <v>128</v>
      </c>
      <c r="K655" s="17" t="n">
        <v>19.6</v>
      </c>
      <c r="L655" s="15" t="n">
        <v>173</v>
      </c>
      <c r="M655" s="18" t="n">
        <v>0</v>
      </c>
      <c r="N655" s="17" t="n">
        <v>14.4</v>
      </c>
      <c r="O655" s="17" t="n">
        <f aca="false">K655*L655*(1-M655)</f>
        <v>3390.8</v>
      </c>
      <c r="P655" s="17" t="n">
        <f aca="false">N655*L655</f>
        <v>2491.2</v>
      </c>
      <c r="Q655" s="17" t="n">
        <f aca="false">O655-P655</f>
        <v>899.6</v>
      </c>
      <c r="R655" s="15" t="s">
        <v>46</v>
      </c>
      <c r="S655" s="15" t="s">
        <v>47</v>
      </c>
    </row>
    <row r="656" customFormat="false" ht="15" hidden="false" customHeight="true" outlineLevel="0" collapsed="false">
      <c r="A656" s="11" t="s">
        <v>792</v>
      </c>
      <c r="B656" s="12" t="n">
        <v>45748</v>
      </c>
      <c r="C656" s="11" t="s">
        <v>65</v>
      </c>
      <c r="D656" s="11" t="s">
        <v>149</v>
      </c>
      <c r="E656" s="11" t="s">
        <v>150</v>
      </c>
      <c r="F656" s="11" t="s">
        <v>99</v>
      </c>
      <c r="G656" s="11" t="s">
        <v>77</v>
      </c>
      <c r="H656" s="11" t="s">
        <v>78</v>
      </c>
      <c r="I656" s="11" t="s">
        <v>154</v>
      </c>
      <c r="J656" s="11" t="s">
        <v>155</v>
      </c>
      <c r="K656" s="13" t="n">
        <v>695.83</v>
      </c>
      <c r="L656" s="11" t="n">
        <v>17</v>
      </c>
      <c r="M656" s="14" t="n">
        <v>0.1</v>
      </c>
      <c r="N656" s="13" t="n">
        <v>585.67</v>
      </c>
      <c r="O656" s="13" t="n">
        <f aca="false">K656*L656*(1-M656)</f>
        <v>10646.199</v>
      </c>
      <c r="P656" s="13" t="n">
        <f aca="false">N656*L656</f>
        <v>9956.39</v>
      </c>
      <c r="Q656" s="13" t="n">
        <f aca="false">O656-P656</f>
        <v>689.809000000001</v>
      </c>
      <c r="R656" s="11" t="s">
        <v>63</v>
      </c>
      <c r="S656" s="11" t="s">
        <v>47</v>
      </c>
    </row>
    <row r="657" customFormat="false" ht="15" hidden="false" customHeight="true" outlineLevel="0" collapsed="false">
      <c r="A657" s="15" t="s">
        <v>793</v>
      </c>
      <c r="B657" s="16" t="n">
        <v>45748</v>
      </c>
      <c r="C657" s="15" t="s">
        <v>38</v>
      </c>
      <c r="D657" s="15" t="s">
        <v>39</v>
      </c>
      <c r="E657" s="15" t="s">
        <v>40</v>
      </c>
      <c r="F657" s="15" t="s">
        <v>123</v>
      </c>
      <c r="G657" s="15" t="s">
        <v>77</v>
      </c>
      <c r="H657" s="15" t="s">
        <v>43</v>
      </c>
      <c r="I657" s="15" t="s">
        <v>61</v>
      </c>
      <c r="J657" s="15" t="s">
        <v>147</v>
      </c>
      <c r="K657" s="17" t="n">
        <v>316.61</v>
      </c>
      <c r="L657" s="15" t="n">
        <v>47</v>
      </c>
      <c r="M657" s="18" t="n">
        <v>0.1</v>
      </c>
      <c r="N657" s="17" t="n">
        <v>117.82</v>
      </c>
      <c r="O657" s="17" t="n">
        <f aca="false">K657*L657*(1-M657)</f>
        <v>13392.603</v>
      </c>
      <c r="P657" s="17" t="n">
        <f aca="false">N657*L657</f>
        <v>5537.54</v>
      </c>
      <c r="Q657" s="17" t="n">
        <f aca="false">O657-P657</f>
        <v>7855.063</v>
      </c>
      <c r="R657" s="15" t="s">
        <v>114</v>
      </c>
      <c r="S657" s="15" t="s">
        <v>47</v>
      </c>
    </row>
    <row r="658" customFormat="false" ht="15" hidden="false" customHeight="true" outlineLevel="0" collapsed="false">
      <c r="A658" s="11" t="s">
        <v>794</v>
      </c>
      <c r="B658" s="12" t="n">
        <v>45749</v>
      </c>
      <c r="C658" s="11" t="s">
        <v>74</v>
      </c>
      <c r="D658" s="11" t="s">
        <v>171</v>
      </c>
      <c r="E658" s="11" t="s">
        <v>172</v>
      </c>
      <c r="F658" s="11" t="s">
        <v>135</v>
      </c>
      <c r="G658" s="11" t="s">
        <v>42</v>
      </c>
      <c r="H658" s="11" t="s">
        <v>84</v>
      </c>
      <c r="I658" s="11" t="s">
        <v>85</v>
      </c>
      <c r="J658" s="11" t="s">
        <v>90</v>
      </c>
      <c r="K658" s="13" t="n">
        <v>417.15</v>
      </c>
      <c r="L658" s="11" t="n">
        <v>1</v>
      </c>
      <c r="M658" s="14" t="n">
        <v>0.1</v>
      </c>
      <c r="N658" s="13" t="n">
        <v>326.35</v>
      </c>
      <c r="O658" s="13" t="n">
        <f aca="false">K658*L658*(1-M658)</f>
        <v>375.435</v>
      </c>
      <c r="P658" s="13" t="n">
        <f aca="false">N658*L658</f>
        <v>326.35</v>
      </c>
      <c r="Q658" s="13" t="n">
        <f aca="false">O658-P658</f>
        <v>49.085</v>
      </c>
      <c r="R658" s="11" t="s">
        <v>63</v>
      </c>
      <c r="S658" s="11" t="s">
        <v>47</v>
      </c>
    </row>
    <row r="659" customFormat="false" ht="15" hidden="false" customHeight="true" outlineLevel="0" collapsed="false">
      <c r="A659" s="15" t="s">
        <v>795</v>
      </c>
      <c r="B659" s="16" t="n">
        <v>45750</v>
      </c>
      <c r="C659" s="15" t="s">
        <v>49</v>
      </c>
      <c r="D659" s="15" t="s">
        <v>97</v>
      </c>
      <c r="E659" s="15" t="s">
        <v>112</v>
      </c>
      <c r="F659" s="15" t="s">
        <v>109</v>
      </c>
      <c r="G659" s="15" t="s">
        <v>77</v>
      </c>
      <c r="H659" s="15" t="s">
        <v>78</v>
      </c>
      <c r="I659" s="15" t="s">
        <v>154</v>
      </c>
      <c r="J659" s="15" t="s">
        <v>155</v>
      </c>
      <c r="K659" s="17" t="n">
        <v>685.67</v>
      </c>
      <c r="L659" s="15" t="n">
        <v>12</v>
      </c>
      <c r="M659" s="18" t="n">
        <v>0</v>
      </c>
      <c r="N659" s="17" t="n">
        <v>575.74</v>
      </c>
      <c r="O659" s="17" t="n">
        <f aca="false">K659*L659*(1-M659)</f>
        <v>8228.04</v>
      </c>
      <c r="P659" s="17" t="n">
        <f aca="false">N659*L659</f>
        <v>6908.88</v>
      </c>
      <c r="Q659" s="17" t="n">
        <f aca="false">O659-P659</f>
        <v>1319.16</v>
      </c>
      <c r="R659" s="15" t="s">
        <v>46</v>
      </c>
      <c r="S659" s="15" t="s">
        <v>47</v>
      </c>
    </row>
    <row r="660" customFormat="false" ht="15" hidden="false" customHeight="true" outlineLevel="0" collapsed="false">
      <c r="A660" s="11" t="s">
        <v>796</v>
      </c>
      <c r="B660" s="12" t="n">
        <v>45750</v>
      </c>
      <c r="C660" s="11" t="s">
        <v>38</v>
      </c>
      <c r="D660" s="11" t="s">
        <v>92</v>
      </c>
      <c r="E660" s="11" t="s">
        <v>93</v>
      </c>
      <c r="F660" s="11" t="s">
        <v>41</v>
      </c>
      <c r="G660" s="11" t="s">
        <v>52</v>
      </c>
      <c r="H660" s="11" t="s">
        <v>78</v>
      </c>
      <c r="I660" s="11" t="s">
        <v>143</v>
      </c>
      <c r="J660" s="11" t="s">
        <v>144</v>
      </c>
      <c r="K660" s="13" t="n">
        <v>1133.45</v>
      </c>
      <c r="L660" s="11" t="n">
        <v>13</v>
      </c>
      <c r="M660" s="14" t="n">
        <v>0</v>
      </c>
      <c r="N660" s="13" t="n">
        <v>887.99</v>
      </c>
      <c r="O660" s="13" t="n">
        <f aca="false">K660*L660*(1-M660)</f>
        <v>14734.85</v>
      </c>
      <c r="P660" s="13" t="n">
        <f aca="false">N660*L660</f>
        <v>11543.87</v>
      </c>
      <c r="Q660" s="13" t="n">
        <f aca="false">O660-P660</f>
        <v>3190.98</v>
      </c>
      <c r="R660" s="11" t="s">
        <v>167</v>
      </c>
      <c r="S660" s="11" t="s">
        <v>47</v>
      </c>
    </row>
    <row r="661" customFormat="false" ht="15" hidden="false" customHeight="true" outlineLevel="0" collapsed="false">
      <c r="A661" s="15" t="s">
        <v>797</v>
      </c>
      <c r="B661" s="16" t="n">
        <v>45751</v>
      </c>
      <c r="C661" s="15" t="s">
        <v>49</v>
      </c>
      <c r="D661" s="15" t="s">
        <v>97</v>
      </c>
      <c r="E661" s="15" t="s">
        <v>112</v>
      </c>
      <c r="F661" s="15" t="s">
        <v>177</v>
      </c>
      <c r="G661" s="15" t="s">
        <v>52</v>
      </c>
      <c r="H661" s="15" t="s">
        <v>43</v>
      </c>
      <c r="I661" s="15" t="s">
        <v>44</v>
      </c>
      <c r="J661" s="15" t="s">
        <v>45</v>
      </c>
      <c r="K661" s="17" t="n">
        <v>279.17</v>
      </c>
      <c r="L661" s="15" t="n">
        <v>45</v>
      </c>
      <c r="M661" s="18" t="n">
        <v>0</v>
      </c>
      <c r="N661" s="17" t="n">
        <v>73.66</v>
      </c>
      <c r="O661" s="17" t="n">
        <f aca="false">K661*L661*(1-M661)</f>
        <v>12562.65</v>
      </c>
      <c r="P661" s="17" t="n">
        <f aca="false">N661*L661</f>
        <v>3314.7</v>
      </c>
      <c r="Q661" s="17" t="n">
        <f aca="false">O661-P661</f>
        <v>9247.95</v>
      </c>
      <c r="R661" s="15" t="s">
        <v>63</v>
      </c>
      <c r="S661" s="15" t="s">
        <v>124</v>
      </c>
    </row>
    <row r="662" customFormat="false" ht="15" hidden="false" customHeight="true" outlineLevel="0" collapsed="false">
      <c r="A662" s="11" t="s">
        <v>798</v>
      </c>
      <c r="B662" s="12" t="n">
        <v>45751</v>
      </c>
      <c r="C662" s="11" t="s">
        <v>49</v>
      </c>
      <c r="D662" s="11" t="s">
        <v>97</v>
      </c>
      <c r="E662" s="11" t="s">
        <v>98</v>
      </c>
      <c r="F662" s="11" t="s">
        <v>60</v>
      </c>
      <c r="G662" s="11" t="s">
        <v>126</v>
      </c>
      <c r="H662" s="11" t="s">
        <v>78</v>
      </c>
      <c r="I662" s="11" t="s">
        <v>154</v>
      </c>
      <c r="J662" s="11" t="s">
        <v>186</v>
      </c>
      <c r="K662" s="13" t="n">
        <v>1167.41</v>
      </c>
      <c r="L662" s="11" t="n">
        <v>9</v>
      </c>
      <c r="M662" s="14" t="n">
        <v>0.05</v>
      </c>
      <c r="N662" s="13" t="n">
        <v>999.06</v>
      </c>
      <c r="O662" s="13" t="n">
        <f aca="false">K662*L662*(1-M662)</f>
        <v>9981.3555</v>
      </c>
      <c r="P662" s="13" t="n">
        <f aca="false">N662*L662</f>
        <v>8991.54</v>
      </c>
      <c r="Q662" s="13" t="n">
        <f aca="false">O662-P662</f>
        <v>989.815500000001</v>
      </c>
      <c r="R662" s="11" t="s">
        <v>114</v>
      </c>
      <c r="S662" s="11" t="s">
        <v>47</v>
      </c>
    </row>
    <row r="663" customFormat="false" ht="15" hidden="false" customHeight="true" outlineLevel="0" collapsed="false">
      <c r="A663" s="15" t="s">
        <v>799</v>
      </c>
      <c r="B663" s="16" t="n">
        <v>45751</v>
      </c>
      <c r="C663" s="15" t="s">
        <v>65</v>
      </c>
      <c r="D663" s="15" t="s">
        <v>66</v>
      </c>
      <c r="E663" s="15" t="s">
        <v>67</v>
      </c>
      <c r="F663" s="15" t="s">
        <v>41</v>
      </c>
      <c r="G663" s="15" t="s">
        <v>42</v>
      </c>
      <c r="H663" s="15" t="s">
        <v>53</v>
      </c>
      <c r="I663" s="15" t="s">
        <v>54</v>
      </c>
      <c r="J663" s="15" t="s">
        <v>55</v>
      </c>
      <c r="K663" s="17" t="n">
        <v>11.93</v>
      </c>
      <c r="L663" s="15" t="n">
        <v>85</v>
      </c>
      <c r="M663" s="18" t="n">
        <v>0</v>
      </c>
      <c r="N663" s="17" t="n">
        <v>7.81</v>
      </c>
      <c r="O663" s="17" t="n">
        <f aca="false">K663*L663*(1-M663)</f>
        <v>1014.05</v>
      </c>
      <c r="P663" s="17" t="n">
        <f aca="false">N663*L663</f>
        <v>663.85</v>
      </c>
      <c r="Q663" s="17" t="n">
        <f aca="false">O663-P663</f>
        <v>350.2</v>
      </c>
      <c r="R663" s="15" t="s">
        <v>71</v>
      </c>
      <c r="S663" s="15" t="s">
        <v>72</v>
      </c>
    </row>
    <row r="664" customFormat="false" ht="15" hidden="false" customHeight="true" outlineLevel="0" collapsed="false">
      <c r="A664" s="11" t="s">
        <v>800</v>
      </c>
      <c r="B664" s="12" t="n">
        <v>45752</v>
      </c>
      <c r="C664" s="11" t="s">
        <v>49</v>
      </c>
      <c r="D664" s="11" t="s">
        <v>97</v>
      </c>
      <c r="E664" s="11" t="s">
        <v>108</v>
      </c>
      <c r="F664" s="11" t="s">
        <v>68</v>
      </c>
      <c r="G664" s="11" t="s">
        <v>126</v>
      </c>
      <c r="H664" s="11" t="s">
        <v>78</v>
      </c>
      <c r="I664" s="11" t="s">
        <v>120</v>
      </c>
      <c r="J664" s="11" t="s">
        <v>235</v>
      </c>
      <c r="K664" s="13" t="n">
        <v>97.65</v>
      </c>
      <c r="L664" s="11" t="n">
        <v>98</v>
      </c>
      <c r="M664" s="14" t="n">
        <v>0.1</v>
      </c>
      <c r="N664" s="13" t="n">
        <v>75.85</v>
      </c>
      <c r="O664" s="13" t="n">
        <f aca="false">K664*L664*(1-M664)</f>
        <v>8612.73</v>
      </c>
      <c r="P664" s="13" t="n">
        <f aca="false">N664*L664</f>
        <v>7433.3</v>
      </c>
      <c r="Q664" s="13" t="n">
        <f aca="false">O664-P664</f>
        <v>1179.43</v>
      </c>
      <c r="R664" s="11" t="s">
        <v>46</v>
      </c>
      <c r="S664" s="11" t="s">
        <v>47</v>
      </c>
    </row>
    <row r="665" customFormat="false" ht="15" hidden="false" customHeight="true" outlineLevel="0" collapsed="false">
      <c r="A665" s="15" t="s">
        <v>801</v>
      </c>
      <c r="B665" s="16" t="n">
        <v>45752</v>
      </c>
      <c r="C665" s="15" t="s">
        <v>57</v>
      </c>
      <c r="D665" s="15" t="s">
        <v>58</v>
      </c>
      <c r="E665" s="15" t="s">
        <v>59</v>
      </c>
      <c r="F665" s="15" t="s">
        <v>109</v>
      </c>
      <c r="G665" s="15" t="s">
        <v>52</v>
      </c>
      <c r="H665" s="15" t="s">
        <v>53</v>
      </c>
      <c r="I665" s="15" t="s">
        <v>94</v>
      </c>
      <c r="J665" s="15" t="s">
        <v>95</v>
      </c>
      <c r="K665" s="17" t="n">
        <v>18.41</v>
      </c>
      <c r="L665" s="15" t="n">
        <v>35</v>
      </c>
      <c r="M665" s="18" t="n">
        <v>0.05</v>
      </c>
      <c r="N665" s="17" t="n">
        <v>11.19</v>
      </c>
      <c r="O665" s="17" t="n">
        <f aca="false">K665*L665*(1-M665)</f>
        <v>612.1325</v>
      </c>
      <c r="P665" s="17" t="n">
        <f aca="false">N665*L665</f>
        <v>391.65</v>
      </c>
      <c r="Q665" s="17" t="n">
        <f aca="false">O665-P665</f>
        <v>220.4825</v>
      </c>
      <c r="R665" s="15" t="s">
        <v>71</v>
      </c>
      <c r="S665" s="15" t="s">
        <v>47</v>
      </c>
    </row>
    <row r="666" customFormat="false" ht="15" hidden="false" customHeight="true" outlineLevel="0" collapsed="false">
      <c r="A666" s="11" t="s">
        <v>802</v>
      </c>
      <c r="B666" s="12" t="n">
        <v>45753</v>
      </c>
      <c r="C666" s="11" t="s">
        <v>38</v>
      </c>
      <c r="D666" s="11" t="s">
        <v>88</v>
      </c>
      <c r="E666" s="11" t="s">
        <v>89</v>
      </c>
      <c r="F666" s="11" t="s">
        <v>118</v>
      </c>
      <c r="G666" s="11" t="s">
        <v>52</v>
      </c>
      <c r="H666" s="11" t="s">
        <v>53</v>
      </c>
      <c r="I666" s="11" t="s">
        <v>94</v>
      </c>
      <c r="J666" s="11" t="s">
        <v>131</v>
      </c>
      <c r="K666" s="13" t="n">
        <v>27.57</v>
      </c>
      <c r="L666" s="11" t="n">
        <v>45</v>
      </c>
      <c r="M666" s="14" t="n">
        <v>0</v>
      </c>
      <c r="N666" s="13" t="n">
        <v>16.08</v>
      </c>
      <c r="O666" s="13" t="n">
        <f aca="false">K666*L666*(1-M666)</f>
        <v>1240.65</v>
      </c>
      <c r="P666" s="13" t="n">
        <f aca="false">N666*L666</f>
        <v>723.6</v>
      </c>
      <c r="Q666" s="13" t="n">
        <f aca="false">O666-P666</f>
        <v>517.05</v>
      </c>
      <c r="R666" s="11" t="s">
        <v>114</v>
      </c>
      <c r="S666" s="11" t="s">
        <v>47</v>
      </c>
    </row>
    <row r="667" customFormat="false" ht="15" hidden="false" customHeight="true" outlineLevel="0" collapsed="false">
      <c r="A667" s="15" t="s">
        <v>803</v>
      </c>
      <c r="B667" s="16" t="n">
        <v>45753</v>
      </c>
      <c r="C667" s="15" t="s">
        <v>49</v>
      </c>
      <c r="D667" s="15" t="s">
        <v>97</v>
      </c>
      <c r="E667" s="15" t="s">
        <v>112</v>
      </c>
      <c r="F667" s="15" t="s">
        <v>99</v>
      </c>
      <c r="G667" s="15" t="s">
        <v>77</v>
      </c>
      <c r="H667" s="15" t="s">
        <v>84</v>
      </c>
      <c r="I667" s="15" t="s">
        <v>136</v>
      </c>
      <c r="J667" s="15" t="s">
        <v>137</v>
      </c>
      <c r="K667" s="17" t="n">
        <v>415.91</v>
      </c>
      <c r="L667" s="15" t="n">
        <v>28</v>
      </c>
      <c r="M667" s="18" t="n">
        <v>0</v>
      </c>
      <c r="N667" s="17" t="n">
        <v>329.11</v>
      </c>
      <c r="O667" s="17" t="n">
        <f aca="false">K667*L667*(1-M667)</f>
        <v>11645.48</v>
      </c>
      <c r="P667" s="17" t="n">
        <f aca="false">N667*L667</f>
        <v>9215.08</v>
      </c>
      <c r="Q667" s="17" t="n">
        <f aca="false">O667-P667</f>
        <v>2430.4</v>
      </c>
      <c r="R667" s="15" t="s">
        <v>46</v>
      </c>
      <c r="S667" s="15" t="s">
        <v>47</v>
      </c>
    </row>
    <row r="668" customFormat="false" ht="15" hidden="false" customHeight="true" outlineLevel="0" collapsed="false">
      <c r="A668" s="11" t="s">
        <v>804</v>
      </c>
      <c r="B668" s="12" t="n">
        <v>45753</v>
      </c>
      <c r="C668" s="11" t="s">
        <v>49</v>
      </c>
      <c r="D668" s="11" t="s">
        <v>97</v>
      </c>
      <c r="E668" s="11" t="s">
        <v>108</v>
      </c>
      <c r="F668" s="11" t="s">
        <v>51</v>
      </c>
      <c r="G668" s="11" t="s">
        <v>77</v>
      </c>
      <c r="H668" s="11" t="s">
        <v>53</v>
      </c>
      <c r="I668" s="11" t="s">
        <v>69</v>
      </c>
      <c r="J668" s="11" t="s">
        <v>128</v>
      </c>
      <c r="K668" s="13" t="n">
        <v>19.81</v>
      </c>
      <c r="L668" s="11" t="n">
        <v>98</v>
      </c>
      <c r="M668" s="14" t="n">
        <v>0.05</v>
      </c>
      <c r="N668" s="13" t="n">
        <v>13.74</v>
      </c>
      <c r="O668" s="13" t="n">
        <f aca="false">K668*L668*(1-M668)</f>
        <v>1844.311</v>
      </c>
      <c r="P668" s="13" t="n">
        <f aca="false">N668*L668</f>
        <v>1346.52</v>
      </c>
      <c r="Q668" s="13" t="n">
        <f aca="false">O668-P668</f>
        <v>497.791</v>
      </c>
      <c r="R668" s="11" t="s">
        <v>63</v>
      </c>
      <c r="S668" s="11" t="s">
        <v>47</v>
      </c>
    </row>
    <row r="669" customFormat="false" ht="15" hidden="false" customHeight="true" outlineLevel="0" collapsed="false">
      <c r="A669" s="15" t="s">
        <v>805</v>
      </c>
      <c r="B669" s="16" t="n">
        <v>45754</v>
      </c>
      <c r="C669" s="15" t="s">
        <v>65</v>
      </c>
      <c r="D669" s="15" t="s">
        <v>66</v>
      </c>
      <c r="E669" s="15" t="s">
        <v>67</v>
      </c>
      <c r="F669" s="15" t="s">
        <v>177</v>
      </c>
      <c r="G669" s="15" t="s">
        <v>52</v>
      </c>
      <c r="H669" s="15" t="s">
        <v>84</v>
      </c>
      <c r="I669" s="15" t="s">
        <v>100</v>
      </c>
      <c r="J669" s="15" t="s">
        <v>101</v>
      </c>
      <c r="K669" s="17" t="n">
        <v>1485.89</v>
      </c>
      <c r="L669" s="15" t="n">
        <v>2</v>
      </c>
      <c r="M669" s="18" t="n">
        <v>0</v>
      </c>
      <c r="N669" s="17" t="n">
        <v>1151.43</v>
      </c>
      <c r="O669" s="17" t="n">
        <f aca="false">K669*L669*(1-M669)</f>
        <v>2971.78</v>
      </c>
      <c r="P669" s="17" t="n">
        <f aca="false">N669*L669</f>
        <v>2302.86</v>
      </c>
      <c r="Q669" s="17" t="n">
        <f aca="false">O669-P669</f>
        <v>668.92</v>
      </c>
      <c r="R669" s="15" t="s">
        <v>46</v>
      </c>
      <c r="S669" s="15" t="s">
        <v>187</v>
      </c>
    </row>
    <row r="670" customFormat="false" ht="15" hidden="false" customHeight="true" outlineLevel="0" collapsed="false">
      <c r="A670" s="11" t="s">
        <v>806</v>
      </c>
      <c r="B670" s="12" t="n">
        <v>45755</v>
      </c>
      <c r="C670" s="11" t="s">
        <v>49</v>
      </c>
      <c r="D670" s="11" t="s">
        <v>97</v>
      </c>
      <c r="E670" s="11" t="s">
        <v>108</v>
      </c>
      <c r="F670" s="11" t="s">
        <v>99</v>
      </c>
      <c r="G670" s="11" t="s">
        <v>126</v>
      </c>
      <c r="H670" s="11" t="s">
        <v>84</v>
      </c>
      <c r="I670" s="11" t="s">
        <v>85</v>
      </c>
      <c r="J670" s="11" t="s">
        <v>90</v>
      </c>
      <c r="K670" s="13" t="n">
        <v>786.36</v>
      </c>
      <c r="L670" s="11" t="n">
        <v>8</v>
      </c>
      <c r="M670" s="14" t="n">
        <v>0.05</v>
      </c>
      <c r="N670" s="13" t="n">
        <v>593.85</v>
      </c>
      <c r="O670" s="13" t="n">
        <f aca="false">K670*L670*(1-M670)</f>
        <v>5976.336</v>
      </c>
      <c r="P670" s="13" t="n">
        <f aca="false">N670*L670</f>
        <v>4750.8</v>
      </c>
      <c r="Q670" s="13" t="n">
        <f aca="false">O670-P670</f>
        <v>1225.536</v>
      </c>
      <c r="R670" s="11" t="s">
        <v>46</v>
      </c>
      <c r="S670" s="11" t="s">
        <v>47</v>
      </c>
    </row>
    <row r="671" customFormat="false" ht="15" hidden="false" customHeight="true" outlineLevel="0" collapsed="false">
      <c r="A671" s="15" t="s">
        <v>807</v>
      </c>
      <c r="B671" s="16" t="n">
        <v>45755</v>
      </c>
      <c r="C671" s="15" t="s">
        <v>65</v>
      </c>
      <c r="D671" s="15" t="s">
        <v>149</v>
      </c>
      <c r="E671" s="15" t="s">
        <v>150</v>
      </c>
      <c r="F671" s="15" t="s">
        <v>60</v>
      </c>
      <c r="G671" s="15" t="s">
        <v>52</v>
      </c>
      <c r="H671" s="15" t="s">
        <v>84</v>
      </c>
      <c r="I671" s="15" t="s">
        <v>136</v>
      </c>
      <c r="J671" s="15" t="s">
        <v>247</v>
      </c>
      <c r="K671" s="17" t="n">
        <v>465.02</v>
      </c>
      <c r="L671" s="15" t="n">
        <v>25</v>
      </c>
      <c r="M671" s="18" t="n">
        <v>0.2</v>
      </c>
      <c r="N671" s="17" t="n">
        <v>340.89</v>
      </c>
      <c r="O671" s="17" t="n">
        <f aca="false">K671*L671*(1-M671)</f>
        <v>9300.4</v>
      </c>
      <c r="P671" s="17" t="n">
        <f aca="false">N671*L671</f>
        <v>8522.25</v>
      </c>
      <c r="Q671" s="17" t="n">
        <f aca="false">O671-P671</f>
        <v>778.15</v>
      </c>
      <c r="R671" s="15" t="s">
        <v>167</v>
      </c>
      <c r="S671" s="15" t="s">
        <v>47</v>
      </c>
    </row>
    <row r="672" customFormat="false" ht="15" hidden="false" customHeight="true" outlineLevel="0" collapsed="false">
      <c r="A672" s="11" t="s">
        <v>808</v>
      </c>
      <c r="B672" s="12" t="n">
        <v>45755</v>
      </c>
      <c r="C672" s="11" t="s">
        <v>57</v>
      </c>
      <c r="D672" s="11" t="s">
        <v>103</v>
      </c>
      <c r="E672" s="11" t="s">
        <v>104</v>
      </c>
      <c r="F672" s="11" t="s">
        <v>177</v>
      </c>
      <c r="G672" s="11" t="s">
        <v>126</v>
      </c>
      <c r="H672" s="11" t="s">
        <v>84</v>
      </c>
      <c r="I672" s="11" t="s">
        <v>85</v>
      </c>
      <c r="J672" s="11" t="s">
        <v>86</v>
      </c>
      <c r="K672" s="13" t="n">
        <v>350.29</v>
      </c>
      <c r="L672" s="11" t="n">
        <v>10</v>
      </c>
      <c r="M672" s="14" t="n">
        <v>0.1</v>
      </c>
      <c r="N672" s="13" t="n">
        <v>246.85</v>
      </c>
      <c r="O672" s="13" t="n">
        <f aca="false">K672*L672*(1-M672)</f>
        <v>3152.61</v>
      </c>
      <c r="P672" s="13" t="n">
        <f aca="false">N672*L672</f>
        <v>2468.5</v>
      </c>
      <c r="Q672" s="13" t="n">
        <f aca="false">O672-P672</f>
        <v>684.11</v>
      </c>
      <c r="R672" s="11" t="s">
        <v>63</v>
      </c>
      <c r="S672" s="11" t="s">
        <v>47</v>
      </c>
    </row>
    <row r="673" customFormat="false" ht="15" hidden="false" customHeight="true" outlineLevel="0" collapsed="false">
      <c r="A673" s="15" t="s">
        <v>809</v>
      </c>
      <c r="B673" s="16" t="n">
        <v>45756</v>
      </c>
      <c r="C673" s="15" t="s">
        <v>65</v>
      </c>
      <c r="D673" s="15" t="s">
        <v>116</v>
      </c>
      <c r="E673" s="15" t="s">
        <v>117</v>
      </c>
      <c r="F673" s="15" t="s">
        <v>135</v>
      </c>
      <c r="G673" s="15" t="s">
        <v>52</v>
      </c>
      <c r="H673" s="15" t="s">
        <v>43</v>
      </c>
      <c r="I673" s="15" t="s">
        <v>61</v>
      </c>
      <c r="J673" s="15" t="s">
        <v>62</v>
      </c>
      <c r="K673" s="17" t="n">
        <v>454.08</v>
      </c>
      <c r="L673" s="15" t="n">
        <v>25</v>
      </c>
      <c r="M673" s="18" t="n">
        <v>0</v>
      </c>
      <c r="N673" s="17" t="n">
        <v>198.44</v>
      </c>
      <c r="O673" s="17" t="n">
        <f aca="false">K673*L673*(1-M673)</f>
        <v>11352</v>
      </c>
      <c r="P673" s="17" t="n">
        <f aca="false">N673*L673</f>
        <v>4961</v>
      </c>
      <c r="Q673" s="17" t="n">
        <f aca="false">O673-P673</f>
        <v>6391</v>
      </c>
      <c r="R673" s="15" t="s">
        <v>63</v>
      </c>
      <c r="S673" s="15" t="s">
        <v>124</v>
      </c>
    </row>
    <row r="674" customFormat="false" ht="15" hidden="false" customHeight="true" outlineLevel="0" collapsed="false">
      <c r="A674" s="11" t="s">
        <v>810</v>
      </c>
      <c r="B674" s="12" t="n">
        <v>45757</v>
      </c>
      <c r="C674" s="11" t="s">
        <v>49</v>
      </c>
      <c r="D674" s="11" t="s">
        <v>50</v>
      </c>
      <c r="E674" s="11" t="s">
        <v>50</v>
      </c>
      <c r="F674" s="11" t="s">
        <v>99</v>
      </c>
      <c r="G674" s="11" t="s">
        <v>52</v>
      </c>
      <c r="H674" s="11" t="s">
        <v>78</v>
      </c>
      <c r="I674" s="11" t="s">
        <v>143</v>
      </c>
      <c r="J674" s="11" t="s">
        <v>158</v>
      </c>
      <c r="K674" s="13" t="n">
        <v>642.64</v>
      </c>
      <c r="L674" s="11" t="n">
        <v>25</v>
      </c>
      <c r="M674" s="14" t="n">
        <v>0.05</v>
      </c>
      <c r="N674" s="13" t="n">
        <v>531.41</v>
      </c>
      <c r="O674" s="13" t="n">
        <f aca="false">K674*L674*(1-M674)</f>
        <v>15262.7</v>
      </c>
      <c r="P674" s="13" t="n">
        <f aca="false">N674*L674</f>
        <v>13285.25</v>
      </c>
      <c r="Q674" s="13" t="n">
        <f aca="false">O674-P674</f>
        <v>1977.45</v>
      </c>
      <c r="R674" s="11" t="s">
        <v>167</v>
      </c>
      <c r="S674" s="11" t="s">
        <v>47</v>
      </c>
    </row>
    <row r="675" customFormat="false" ht="15" hidden="false" customHeight="true" outlineLevel="0" collapsed="false">
      <c r="A675" s="15" t="s">
        <v>811</v>
      </c>
      <c r="B675" s="16" t="n">
        <v>45757</v>
      </c>
      <c r="C675" s="15" t="s">
        <v>38</v>
      </c>
      <c r="D675" s="15" t="s">
        <v>88</v>
      </c>
      <c r="E675" s="15" t="s">
        <v>89</v>
      </c>
      <c r="F675" s="15" t="s">
        <v>60</v>
      </c>
      <c r="G675" s="15" t="s">
        <v>77</v>
      </c>
      <c r="H675" s="15" t="s">
        <v>53</v>
      </c>
      <c r="I675" s="15" t="s">
        <v>94</v>
      </c>
      <c r="J675" s="15" t="s">
        <v>95</v>
      </c>
      <c r="K675" s="17" t="n">
        <v>20.34</v>
      </c>
      <c r="L675" s="15" t="n">
        <v>89</v>
      </c>
      <c r="M675" s="18" t="n">
        <v>0</v>
      </c>
      <c r="N675" s="17" t="n">
        <v>12.23</v>
      </c>
      <c r="O675" s="17" t="n">
        <f aca="false">K675*L675*(1-M675)</f>
        <v>1810.26</v>
      </c>
      <c r="P675" s="17" t="n">
        <f aca="false">N675*L675</f>
        <v>1088.47</v>
      </c>
      <c r="Q675" s="17" t="n">
        <f aca="false">O675-P675</f>
        <v>721.79</v>
      </c>
      <c r="R675" s="15" t="s">
        <v>167</v>
      </c>
      <c r="S675" s="15" t="s">
        <v>124</v>
      </c>
    </row>
    <row r="676" customFormat="false" ht="15" hidden="false" customHeight="true" outlineLevel="0" collapsed="false">
      <c r="A676" s="11" t="s">
        <v>812</v>
      </c>
      <c r="B676" s="12" t="n">
        <v>45757</v>
      </c>
      <c r="C676" s="11" t="s">
        <v>49</v>
      </c>
      <c r="D676" s="11" t="s">
        <v>152</v>
      </c>
      <c r="E676" s="11" t="s">
        <v>152</v>
      </c>
      <c r="F676" s="11" t="s">
        <v>135</v>
      </c>
      <c r="G676" s="11" t="s">
        <v>77</v>
      </c>
      <c r="H676" s="11" t="s">
        <v>78</v>
      </c>
      <c r="I676" s="11" t="s">
        <v>79</v>
      </c>
      <c r="J676" s="11" t="s">
        <v>216</v>
      </c>
      <c r="K676" s="13" t="n">
        <v>3147.99</v>
      </c>
      <c r="L676" s="11" t="n">
        <v>2</v>
      </c>
      <c r="M676" s="14" t="n">
        <v>0.05</v>
      </c>
      <c r="N676" s="13" t="n">
        <v>2525.13</v>
      </c>
      <c r="O676" s="13" t="n">
        <f aca="false">K676*L676*(1-M676)</f>
        <v>5981.181</v>
      </c>
      <c r="P676" s="13" t="n">
        <f aca="false">N676*L676</f>
        <v>5050.26</v>
      </c>
      <c r="Q676" s="13" t="n">
        <f aca="false">O676-P676</f>
        <v>930.920999999999</v>
      </c>
      <c r="R676" s="11" t="s">
        <v>46</v>
      </c>
      <c r="S676" s="11" t="s">
        <v>47</v>
      </c>
    </row>
    <row r="677" customFormat="false" ht="15" hidden="false" customHeight="true" outlineLevel="0" collapsed="false">
      <c r="A677" s="15" t="s">
        <v>813</v>
      </c>
      <c r="B677" s="16" t="n">
        <v>45757</v>
      </c>
      <c r="C677" s="15" t="s">
        <v>65</v>
      </c>
      <c r="D677" s="15" t="s">
        <v>82</v>
      </c>
      <c r="E677" s="15" t="s">
        <v>83</v>
      </c>
      <c r="F677" s="15" t="s">
        <v>123</v>
      </c>
      <c r="G677" s="15" t="s">
        <v>130</v>
      </c>
      <c r="H677" s="15" t="s">
        <v>43</v>
      </c>
      <c r="I677" s="15" t="s">
        <v>44</v>
      </c>
      <c r="J677" s="15" t="s">
        <v>106</v>
      </c>
      <c r="K677" s="17" t="n">
        <v>299.23</v>
      </c>
      <c r="L677" s="15" t="n">
        <v>48</v>
      </c>
      <c r="M677" s="18" t="n">
        <v>0.2</v>
      </c>
      <c r="N677" s="17" t="n">
        <v>96.98</v>
      </c>
      <c r="O677" s="17" t="n">
        <f aca="false">K677*L677*(1-M677)</f>
        <v>11490.432</v>
      </c>
      <c r="P677" s="17" t="n">
        <f aca="false">N677*L677</f>
        <v>4655.04</v>
      </c>
      <c r="Q677" s="17" t="n">
        <f aca="false">O677-P677</f>
        <v>6835.392</v>
      </c>
      <c r="R677" s="15" t="s">
        <v>114</v>
      </c>
      <c r="S677" s="15" t="s">
        <v>47</v>
      </c>
    </row>
    <row r="678" customFormat="false" ht="15" hidden="false" customHeight="true" outlineLevel="0" collapsed="false">
      <c r="A678" s="11" t="s">
        <v>814</v>
      </c>
      <c r="B678" s="12" t="n">
        <v>45757</v>
      </c>
      <c r="C678" s="11" t="s">
        <v>38</v>
      </c>
      <c r="D678" s="11" t="s">
        <v>39</v>
      </c>
      <c r="E678" s="11" t="s">
        <v>40</v>
      </c>
      <c r="F678" s="11" t="s">
        <v>177</v>
      </c>
      <c r="G678" s="11" t="s">
        <v>52</v>
      </c>
      <c r="H678" s="11" t="s">
        <v>43</v>
      </c>
      <c r="I678" s="11" t="s">
        <v>44</v>
      </c>
      <c r="J678" s="11" t="s">
        <v>106</v>
      </c>
      <c r="K678" s="13" t="n">
        <v>441.88</v>
      </c>
      <c r="L678" s="11" t="n">
        <v>13</v>
      </c>
      <c r="M678" s="14" t="n">
        <v>0.05</v>
      </c>
      <c r="N678" s="13" t="n">
        <v>133.85</v>
      </c>
      <c r="O678" s="13" t="n">
        <f aca="false">K678*L678*(1-M678)</f>
        <v>5457.218</v>
      </c>
      <c r="P678" s="13" t="n">
        <f aca="false">N678*L678</f>
        <v>1740.05</v>
      </c>
      <c r="Q678" s="13" t="n">
        <f aca="false">O678-P678</f>
        <v>3717.168</v>
      </c>
      <c r="R678" s="11" t="s">
        <v>114</v>
      </c>
      <c r="S678" s="11" t="s">
        <v>124</v>
      </c>
    </row>
    <row r="679" customFormat="false" ht="15" hidden="false" customHeight="true" outlineLevel="0" collapsed="false">
      <c r="A679" s="15" t="s">
        <v>815</v>
      </c>
      <c r="B679" s="16" t="n">
        <v>45758</v>
      </c>
      <c r="C679" s="15" t="s">
        <v>49</v>
      </c>
      <c r="D679" s="15" t="s">
        <v>50</v>
      </c>
      <c r="E679" s="15" t="s">
        <v>50</v>
      </c>
      <c r="F679" s="15" t="s">
        <v>109</v>
      </c>
      <c r="G679" s="15" t="s">
        <v>42</v>
      </c>
      <c r="H679" s="15" t="s">
        <v>84</v>
      </c>
      <c r="I679" s="15" t="s">
        <v>136</v>
      </c>
      <c r="J679" s="15" t="s">
        <v>247</v>
      </c>
      <c r="K679" s="17" t="n">
        <v>754.94</v>
      </c>
      <c r="L679" s="15" t="n">
        <v>12</v>
      </c>
      <c r="M679" s="18" t="n">
        <v>0</v>
      </c>
      <c r="N679" s="17" t="n">
        <v>588.47</v>
      </c>
      <c r="O679" s="17" t="n">
        <f aca="false">K679*L679*(1-M679)</f>
        <v>9059.28</v>
      </c>
      <c r="P679" s="17" t="n">
        <f aca="false">N679*L679</f>
        <v>7061.64</v>
      </c>
      <c r="Q679" s="17" t="n">
        <f aca="false">O679-P679</f>
        <v>1997.64</v>
      </c>
      <c r="R679" s="15" t="s">
        <v>63</v>
      </c>
      <c r="S679" s="15" t="s">
        <v>47</v>
      </c>
    </row>
    <row r="680" customFormat="false" ht="15" hidden="false" customHeight="true" outlineLevel="0" collapsed="false">
      <c r="A680" s="11" t="s">
        <v>816</v>
      </c>
      <c r="B680" s="12" t="n">
        <v>45759</v>
      </c>
      <c r="C680" s="11" t="s">
        <v>49</v>
      </c>
      <c r="D680" s="11" t="s">
        <v>50</v>
      </c>
      <c r="E680" s="11" t="s">
        <v>50</v>
      </c>
      <c r="F680" s="11" t="s">
        <v>41</v>
      </c>
      <c r="G680" s="11" t="s">
        <v>77</v>
      </c>
      <c r="H680" s="11" t="s">
        <v>78</v>
      </c>
      <c r="I680" s="11" t="s">
        <v>154</v>
      </c>
      <c r="J680" s="11" t="s">
        <v>155</v>
      </c>
      <c r="K680" s="13" t="n">
        <v>898.94</v>
      </c>
      <c r="L680" s="11" t="n">
        <v>7</v>
      </c>
      <c r="M680" s="14" t="n">
        <v>0.1</v>
      </c>
      <c r="N680" s="13" t="n">
        <v>740.48</v>
      </c>
      <c r="O680" s="13" t="n">
        <f aca="false">K680*L680*(1-M680)</f>
        <v>5663.322</v>
      </c>
      <c r="P680" s="13" t="n">
        <f aca="false">N680*L680</f>
        <v>5183.36</v>
      </c>
      <c r="Q680" s="13" t="n">
        <f aca="false">O680-P680</f>
        <v>479.962</v>
      </c>
      <c r="R680" s="11" t="s">
        <v>114</v>
      </c>
      <c r="S680" s="11" t="s">
        <v>47</v>
      </c>
    </row>
    <row r="681" customFormat="false" ht="15" hidden="false" customHeight="true" outlineLevel="0" collapsed="false">
      <c r="A681" s="15" t="s">
        <v>817</v>
      </c>
      <c r="B681" s="16" t="n">
        <v>45759</v>
      </c>
      <c r="C681" s="15" t="s">
        <v>49</v>
      </c>
      <c r="D681" s="15" t="s">
        <v>152</v>
      </c>
      <c r="E681" s="15" t="s">
        <v>152</v>
      </c>
      <c r="F681" s="15" t="s">
        <v>109</v>
      </c>
      <c r="G681" s="15" t="s">
        <v>77</v>
      </c>
      <c r="H681" s="15" t="s">
        <v>84</v>
      </c>
      <c r="I681" s="15" t="s">
        <v>136</v>
      </c>
      <c r="J681" s="15" t="s">
        <v>247</v>
      </c>
      <c r="K681" s="17" t="n">
        <v>928.2</v>
      </c>
      <c r="L681" s="15" t="n">
        <v>2</v>
      </c>
      <c r="M681" s="18" t="n">
        <v>0.2</v>
      </c>
      <c r="N681" s="17" t="n">
        <v>746.68</v>
      </c>
      <c r="O681" s="17" t="n">
        <f aca="false">K681*L681*(1-M681)</f>
        <v>1485.12</v>
      </c>
      <c r="P681" s="17" t="n">
        <f aca="false">N681*L681</f>
        <v>1493.36</v>
      </c>
      <c r="Q681" s="17" t="n">
        <f aca="false">O681-P681</f>
        <v>-8.23999999999978</v>
      </c>
      <c r="R681" s="15" t="s">
        <v>46</v>
      </c>
      <c r="S681" s="15" t="s">
        <v>187</v>
      </c>
    </row>
    <row r="682" customFormat="false" ht="15" hidden="false" customHeight="true" outlineLevel="0" collapsed="false">
      <c r="A682" s="11" t="s">
        <v>818</v>
      </c>
      <c r="B682" s="12" t="n">
        <v>45759</v>
      </c>
      <c r="C682" s="11" t="s">
        <v>49</v>
      </c>
      <c r="D682" s="11" t="s">
        <v>97</v>
      </c>
      <c r="E682" s="11" t="s">
        <v>112</v>
      </c>
      <c r="F682" s="11" t="s">
        <v>177</v>
      </c>
      <c r="G682" s="11" t="s">
        <v>42</v>
      </c>
      <c r="H682" s="11" t="s">
        <v>43</v>
      </c>
      <c r="I682" s="11" t="s">
        <v>44</v>
      </c>
      <c r="J682" s="11" t="s">
        <v>45</v>
      </c>
      <c r="K682" s="13" t="n">
        <v>223.23</v>
      </c>
      <c r="L682" s="11" t="n">
        <v>8</v>
      </c>
      <c r="M682" s="14" t="n">
        <v>0</v>
      </c>
      <c r="N682" s="13" t="n">
        <v>72.49</v>
      </c>
      <c r="O682" s="13" t="n">
        <f aca="false">K682*L682*(1-M682)</f>
        <v>1785.84</v>
      </c>
      <c r="P682" s="13" t="n">
        <f aca="false">N682*L682</f>
        <v>579.92</v>
      </c>
      <c r="Q682" s="13" t="n">
        <f aca="false">O682-P682</f>
        <v>1205.92</v>
      </c>
      <c r="R682" s="11" t="s">
        <v>167</v>
      </c>
      <c r="S682" s="11" t="s">
        <v>47</v>
      </c>
    </row>
    <row r="683" customFormat="false" ht="15" hidden="false" customHeight="true" outlineLevel="0" collapsed="false">
      <c r="A683" s="15" t="s">
        <v>819</v>
      </c>
      <c r="B683" s="16" t="n">
        <v>45759</v>
      </c>
      <c r="C683" s="15" t="s">
        <v>49</v>
      </c>
      <c r="D683" s="15" t="s">
        <v>152</v>
      </c>
      <c r="E683" s="15" t="s">
        <v>152</v>
      </c>
      <c r="F683" s="15" t="s">
        <v>109</v>
      </c>
      <c r="G683" s="15" t="s">
        <v>130</v>
      </c>
      <c r="H683" s="15" t="s">
        <v>78</v>
      </c>
      <c r="I683" s="15" t="s">
        <v>154</v>
      </c>
      <c r="J683" s="15" t="s">
        <v>155</v>
      </c>
      <c r="K683" s="17" t="n">
        <v>821.54</v>
      </c>
      <c r="L683" s="15" t="n">
        <v>14</v>
      </c>
      <c r="M683" s="18" t="n">
        <v>0.15</v>
      </c>
      <c r="N683" s="17" t="n">
        <v>683.65</v>
      </c>
      <c r="O683" s="17" t="n">
        <f aca="false">K683*L683*(1-M683)</f>
        <v>9776.326</v>
      </c>
      <c r="P683" s="17" t="n">
        <f aca="false">N683*L683</f>
        <v>9571.1</v>
      </c>
      <c r="Q683" s="17" t="n">
        <f aca="false">O683-P683</f>
        <v>205.225999999999</v>
      </c>
      <c r="R683" s="15" t="s">
        <v>46</v>
      </c>
      <c r="S683" s="15" t="s">
        <v>47</v>
      </c>
    </row>
    <row r="684" customFormat="false" ht="15" hidden="false" customHeight="true" outlineLevel="0" collapsed="false">
      <c r="A684" s="11" t="s">
        <v>820</v>
      </c>
      <c r="B684" s="12" t="n">
        <v>45759</v>
      </c>
      <c r="C684" s="11" t="s">
        <v>74</v>
      </c>
      <c r="D684" s="11" t="s">
        <v>75</v>
      </c>
      <c r="E684" s="11" t="s">
        <v>76</v>
      </c>
      <c r="F684" s="11" t="s">
        <v>135</v>
      </c>
      <c r="G684" s="11" t="s">
        <v>42</v>
      </c>
      <c r="H684" s="11" t="s">
        <v>53</v>
      </c>
      <c r="I684" s="11" t="s">
        <v>94</v>
      </c>
      <c r="J684" s="11" t="s">
        <v>95</v>
      </c>
      <c r="K684" s="13" t="n">
        <v>40.87</v>
      </c>
      <c r="L684" s="11" t="n">
        <v>21</v>
      </c>
      <c r="M684" s="14" t="n">
        <v>0.15</v>
      </c>
      <c r="N684" s="13" t="n">
        <v>22.71</v>
      </c>
      <c r="O684" s="13" t="n">
        <f aca="false">K684*L684*(1-M684)</f>
        <v>729.5295</v>
      </c>
      <c r="P684" s="13" t="n">
        <f aca="false">N684*L684</f>
        <v>476.91</v>
      </c>
      <c r="Q684" s="13" t="n">
        <f aca="false">O684-P684</f>
        <v>252.6195</v>
      </c>
      <c r="R684" s="11" t="s">
        <v>46</v>
      </c>
      <c r="S684" s="11" t="s">
        <v>47</v>
      </c>
    </row>
    <row r="685" customFormat="false" ht="15" hidden="false" customHeight="true" outlineLevel="0" collapsed="false">
      <c r="A685" s="15" t="s">
        <v>821</v>
      </c>
      <c r="B685" s="16" t="n">
        <v>45760</v>
      </c>
      <c r="C685" s="15" t="s">
        <v>57</v>
      </c>
      <c r="D685" s="15" t="s">
        <v>58</v>
      </c>
      <c r="E685" s="15" t="s">
        <v>59</v>
      </c>
      <c r="F685" s="15" t="s">
        <v>118</v>
      </c>
      <c r="G685" s="15" t="s">
        <v>42</v>
      </c>
      <c r="H685" s="15" t="s">
        <v>53</v>
      </c>
      <c r="I685" s="15" t="s">
        <v>54</v>
      </c>
      <c r="J685" s="15" t="s">
        <v>55</v>
      </c>
      <c r="K685" s="17" t="n">
        <v>22.37</v>
      </c>
      <c r="L685" s="15" t="n">
        <v>84</v>
      </c>
      <c r="M685" s="18" t="n">
        <v>0</v>
      </c>
      <c r="N685" s="17" t="n">
        <v>14.9</v>
      </c>
      <c r="O685" s="17" t="n">
        <f aca="false">K685*L685*(1-M685)</f>
        <v>1879.08</v>
      </c>
      <c r="P685" s="17" t="n">
        <f aca="false">N685*L685</f>
        <v>1251.6</v>
      </c>
      <c r="Q685" s="17" t="n">
        <f aca="false">O685-P685</f>
        <v>627.48</v>
      </c>
      <c r="R685" s="15" t="s">
        <v>46</v>
      </c>
      <c r="S685" s="15" t="s">
        <v>47</v>
      </c>
    </row>
    <row r="686" customFormat="false" ht="15" hidden="false" customHeight="true" outlineLevel="0" collapsed="false">
      <c r="A686" s="11" t="s">
        <v>822</v>
      </c>
      <c r="B686" s="12" t="n">
        <v>45760</v>
      </c>
      <c r="C686" s="11" t="s">
        <v>57</v>
      </c>
      <c r="D686" s="11" t="s">
        <v>162</v>
      </c>
      <c r="E686" s="11" t="s">
        <v>163</v>
      </c>
      <c r="F686" s="11" t="s">
        <v>68</v>
      </c>
      <c r="G686" s="11" t="s">
        <v>42</v>
      </c>
      <c r="H686" s="11" t="s">
        <v>78</v>
      </c>
      <c r="I686" s="11" t="s">
        <v>154</v>
      </c>
      <c r="J686" s="11" t="s">
        <v>186</v>
      </c>
      <c r="K686" s="13" t="n">
        <v>1081.17</v>
      </c>
      <c r="L686" s="11" t="n">
        <v>17</v>
      </c>
      <c r="M686" s="14" t="n">
        <v>0.1</v>
      </c>
      <c r="N686" s="13" t="n">
        <v>892.03</v>
      </c>
      <c r="O686" s="13" t="n">
        <f aca="false">K686*L686*(1-M686)</f>
        <v>16541.901</v>
      </c>
      <c r="P686" s="13" t="n">
        <f aca="false">N686*L686</f>
        <v>15164.51</v>
      </c>
      <c r="Q686" s="13" t="n">
        <f aca="false">O686-P686</f>
        <v>1377.391</v>
      </c>
      <c r="R686" s="11" t="s">
        <v>114</v>
      </c>
      <c r="S686" s="11" t="s">
        <v>47</v>
      </c>
    </row>
    <row r="687" customFormat="false" ht="15" hidden="false" customHeight="true" outlineLevel="0" collapsed="false">
      <c r="A687" s="15" t="s">
        <v>823</v>
      </c>
      <c r="B687" s="16" t="n">
        <v>45760</v>
      </c>
      <c r="C687" s="15" t="s">
        <v>49</v>
      </c>
      <c r="D687" s="15" t="s">
        <v>50</v>
      </c>
      <c r="E687" s="15" t="s">
        <v>50</v>
      </c>
      <c r="F687" s="15" t="s">
        <v>123</v>
      </c>
      <c r="G687" s="15" t="s">
        <v>130</v>
      </c>
      <c r="H687" s="15" t="s">
        <v>84</v>
      </c>
      <c r="I687" s="15" t="s">
        <v>85</v>
      </c>
      <c r="J687" s="15" t="s">
        <v>90</v>
      </c>
      <c r="K687" s="17" t="n">
        <v>430.65</v>
      </c>
      <c r="L687" s="15" t="n">
        <v>5</v>
      </c>
      <c r="M687" s="18" t="n">
        <v>0</v>
      </c>
      <c r="N687" s="17" t="n">
        <v>309.28</v>
      </c>
      <c r="O687" s="17" t="n">
        <f aca="false">K687*L687*(1-M687)</f>
        <v>2153.25</v>
      </c>
      <c r="P687" s="17" t="n">
        <f aca="false">N687*L687</f>
        <v>1546.4</v>
      </c>
      <c r="Q687" s="17" t="n">
        <f aca="false">O687-P687</f>
        <v>606.85</v>
      </c>
      <c r="R687" s="15" t="s">
        <v>46</v>
      </c>
      <c r="S687" s="15" t="s">
        <v>47</v>
      </c>
    </row>
    <row r="688" customFormat="false" ht="15" hidden="false" customHeight="true" outlineLevel="0" collapsed="false">
      <c r="A688" s="11" t="s">
        <v>824</v>
      </c>
      <c r="B688" s="12" t="n">
        <v>45760</v>
      </c>
      <c r="C688" s="11" t="s">
        <v>38</v>
      </c>
      <c r="D688" s="11" t="s">
        <v>39</v>
      </c>
      <c r="E688" s="11" t="s">
        <v>40</v>
      </c>
      <c r="F688" s="11" t="s">
        <v>99</v>
      </c>
      <c r="G688" s="11" t="s">
        <v>52</v>
      </c>
      <c r="H688" s="11" t="s">
        <v>78</v>
      </c>
      <c r="I688" s="11" t="s">
        <v>154</v>
      </c>
      <c r="J688" s="11" t="s">
        <v>186</v>
      </c>
      <c r="K688" s="13" t="n">
        <v>1191.12</v>
      </c>
      <c r="L688" s="11" t="n">
        <v>12</v>
      </c>
      <c r="M688" s="14" t="n">
        <v>0.05</v>
      </c>
      <c r="N688" s="13" t="n">
        <v>968.67</v>
      </c>
      <c r="O688" s="13" t="n">
        <f aca="false">K688*L688*(1-M688)</f>
        <v>13578.768</v>
      </c>
      <c r="P688" s="13" t="n">
        <f aca="false">N688*L688</f>
        <v>11624.04</v>
      </c>
      <c r="Q688" s="13" t="n">
        <f aca="false">O688-P688</f>
        <v>1954.728</v>
      </c>
      <c r="R688" s="11" t="s">
        <v>167</v>
      </c>
      <c r="S688" s="11" t="s">
        <v>124</v>
      </c>
    </row>
    <row r="689" customFormat="false" ht="15" hidden="false" customHeight="true" outlineLevel="0" collapsed="false">
      <c r="A689" s="15" t="s">
        <v>825</v>
      </c>
      <c r="B689" s="16" t="n">
        <v>45761</v>
      </c>
      <c r="C689" s="15" t="s">
        <v>49</v>
      </c>
      <c r="D689" s="15" t="s">
        <v>97</v>
      </c>
      <c r="E689" s="15" t="s">
        <v>108</v>
      </c>
      <c r="F689" s="15" t="s">
        <v>41</v>
      </c>
      <c r="G689" s="15" t="s">
        <v>52</v>
      </c>
      <c r="H689" s="15" t="s">
        <v>78</v>
      </c>
      <c r="I689" s="15" t="s">
        <v>120</v>
      </c>
      <c r="J689" s="15" t="s">
        <v>235</v>
      </c>
      <c r="K689" s="17" t="n">
        <v>95.22</v>
      </c>
      <c r="L689" s="15" t="n">
        <v>102</v>
      </c>
      <c r="M689" s="18" t="n">
        <v>0.05</v>
      </c>
      <c r="N689" s="17" t="n">
        <v>73.36</v>
      </c>
      <c r="O689" s="17" t="n">
        <f aca="false">K689*L689*(1-M689)</f>
        <v>9226.818</v>
      </c>
      <c r="P689" s="17" t="n">
        <f aca="false">N689*L689</f>
        <v>7482.72</v>
      </c>
      <c r="Q689" s="17" t="n">
        <f aca="false">O689-P689</f>
        <v>1744.098</v>
      </c>
      <c r="R689" s="15" t="s">
        <v>46</v>
      </c>
      <c r="S689" s="15" t="s">
        <v>47</v>
      </c>
    </row>
    <row r="690" customFormat="false" ht="15" hidden="false" customHeight="true" outlineLevel="0" collapsed="false">
      <c r="A690" s="11" t="s">
        <v>826</v>
      </c>
      <c r="B690" s="12" t="n">
        <v>45765</v>
      </c>
      <c r="C690" s="11" t="s">
        <v>49</v>
      </c>
      <c r="D690" s="11" t="s">
        <v>97</v>
      </c>
      <c r="E690" s="11" t="s">
        <v>112</v>
      </c>
      <c r="F690" s="11" t="s">
        <v>51</v>
      </c>
      <c r="G690" s="11" t="s">
        <v>77</v>
      </c>
      <c r="H690" s="11" t="s">
        <v>53</v>
      </c>
      <c r="I690" s="11" t="s">
        <v>69</v>
      </c>
      <c r="J690" s="11" t="s">
        <v>128</v>
      </c>
      <c r="K690" s="13" t="n">
        <v>15.6</v>
      </c>
      <c r="L690" s="11" t="n">
        <v>119</v>
      </c>
      <c r="M690" s="14" t="n">
        <v>0</v>
      </c>
      <c r="N690" s="13" t="n">
        <v>10.99</v>
      </c>
      <c r="O690" s="13" t="n">
        <f aca="false">K690*L690*(1-M690)</f>
        <v>1856.4</v>
      </c>
      <c r="P690" s="13" t="n">
        <f aca="false">N690*L690</f>
        <v>1307.81</v>
      </c>
      <c r="Q690" s="13" t="n">
        <f aca="false">O690-P690</f>
        <v>548.59</v>
      </c>
      <c r="R690" s="11" t="s">
        <v>46</v>
      </c>
      <c r="S690" s="11" t="s">
        <v>47</v>
      </c>
    </row>
    <row r="691" customFormat="false" ht="15" hidden="false" customHeight="true" outlineLevel="0" collapsed="false">
      <c r="A691" s="15" t="s">
        <v>827</v>
      </c>
      <c r="B691" s="16" t="n">
        <v>45765</v>
      </c>
      <c r="C691" s="15" t="s">
        <v>38</v>
      </c>
      <c r="D691" s="15" t="s">
        <v>39</v>
      </c>
      <c r="E691" s="15" t="s">
        <v>40</v>
      </c>
      <c r="F691" s="15" t="s">
        <v>99</v>
      </c>
      <c r="G691" s="15" t="s">
        <v>42</v>
      </c>
      <c r="H691" s="15" t="s">
        <v>53</v>
      </c>
      <c r="I691" s="15" t="s">
        <v>94</v>
      </c>
      <c r="J691" s="15" t="s">
        <v>95</v>
      </c>
      <c r="K691" s="17" t="n">
        <v>20.14</v>
      </c>
      <c r="L691" s="15" t="n">
        <v>52</v>
      </c>
      <c r="M691" s="18" t="n">
        <v>0</v>
      </c>
      <c r="N691" s="17" t="n">
        <v>12.79</v>
      </c>
      <c r="O691" s="17" t="n">
        <f aca="false">K691*L691*(1-M691)</f>
        <v>1047.28</v>
      </c>
      <c r="P691" s="17" t="n">
        <f aca="false">N691*L691</f>
        <v>665.08</v>
      </c>
      <c r="Q691" s="17" t="n">
        <f aca="false">O691-P691</f>
        <v>382.2</v>
      </c>
      <c r="R691" s="15" t="s">
        <v>46</v>
      </c>
      <c r="S691" s="15" t="s">
        <v>47</v>
      </c>
    </row>
    <row r="692" customFormat="false" ht="15" hidden="false" customHeight="true" outlineLevel="0" collapsed="false">
      <c r="A692" s="11" t="s">
        <v>828</v>
      </c>
      <c r="B692" s="12" t="n">
        <v>45766</v>
      </c>
      <c r="C692" s="11" t="s">
        <v>57</v>
      </c>
      <c r="D692" s="11" t="s">
        <v>103</v>
      </c>
      <c r="E692" s="11" t="s">
        <v>104</v>
      </c>
      <c r="F692" s="11" t="s">
        <v>177</v>
      </c>
      <c r="G692" s="11" t="s">
        <v>42</v>
      </c>
      <c r="H692" s="11" t="s">
        <v>78</v>
      </c>
      <c r="I692" s="11" t="s">
        <v>143</v>
      </c>
      <c r="J692" s="11" t="s">
        <v>144</v>
      </c>
      <c r="K692" s="13" t="n">
        <v>1446.04</v>
      </c>
      <c r="L692" s="11" t="n">
        <v>18</v>
      </c>
      <c r="M692" s="14" t="n">
        <v>0.1</v>
      </c>
      <c r="N692" s="13" t="n">
        <v>1167.32</v>
      </c>
      <c r="O692" s="13" t="n">
        <f aca="false">K692*L692*(1-M692)</f>
        <v>23425.848</v>
      </c>
      <c r="P692" s="13" t="n">
        <f aca="false">N692*L692</f>
        <v>21011.76</v>
      </c>
      <c r="Q692" s="13" t="n">
        <f aca="false">O692-P692</f>
        <v>2414.088</v>
      </c>
      <c r="R692" s="11" t="s">
        <v>63</v>
      </c>
      <c r="S692" s="11" t="s">
        <v>47</v>
      </c>
    </row>
    <row r="693" customFormat="false" ht="15" hidden="false" customHeight="true" outlineLevel="0" collapsed="false">
      <c r="A693" s="15" t="s">
        <v>829</v>
      </c>
      <c r="B693" s="16" t="n">
        <v>45767</v>
      </c>
      <c r="C693" s="15" t="s">
        <v>38</v>
      </c>
      <c r="D693" s="15" t="s">
        <v>39</v>
      </c>
      <c r="E693" s="15" t="s">
        <v>40</v>
      </c>
      <c r="F693" s="15" t="s">
        <v>99</v>
      </c>
      <c r="G693" s="15" t="s">
        <v>52</v>
      </c>
      <c r="H693" s="15" t="s">
        <v>53</v>
      </c>
      <c r="I693" s="15" t="s">
        <v>94</v>
      </c>
      <c r="J693" s="15" t="s">
        <v>95</v>
      </c>
      <c r="K693" s="17" t="n">
        <v>41.05</v>
      </c>
      <c r="L693" s="15" t="n">
        <v>65</v>
      </c>
      <c r="M693" s="18" t="n">
        <v>0.05</v>
      </c>
      <c r="N693" s="17" t="n">
        <v>24.73</v>
      </c>
      <c r="O693" s="17" t="n">
        <f aca="false">K693*L693*(1-M693)</f>
        <v>2534.8375</v>
      </c>
      <c r="P693" s="17" t="n">
        <f aca="false">N693*L693</f>
        <v>1607.45</v>
      </c>
      <c r="Q693" s="17" t="n">
        <f aca="false">O693-P693</f>
        <v>927.3875</v>
      </c>
      <c r="R693" s="15" t="s">
        <v>46</v>
      </c>
      <c r="S693" s="15" t="s">
        <v>187</v>
      </c>
    </row>
    <row r="694" customFormat="false" ht="15" hidden="false" customHeight="true" outlineLevel="0" collapsed="false">
      <c r="A694" s="11" t="s">
        <v>830</v>
      </c>
      <c r="B694" s="12" t="n">
        <v>45767</v>
      </c>
      <c r="C694" s="11" t="s">
        <v>57</v>
      </c>
      <c r="D694" s="11" t="s">
        <v>103</v>
      </c>
      <c r="E694" s="11" t="s">
        <v>104</v>
      </c>
      <c r="F694" s="11" t="s">
        <v>109</v>
      </c>
      <c r="G694" s="11" t="s">
        <v>52</v>
      </c>
      <c r="H694" s="11" t="s">
        <v>53</v>
      </c>
      <c r="I694" s="11" t="s">
        <v>69</v>
      </c>
      <c r="J694" s="11" t="s">
        <v>70</v>
      </c>
      <c r="K694" s="13" t="n">
        <v>25.21</v>
      </c>
      <c r="L694" s="11" t="n">
        <v>75</v>
      </c>
      <c r="M694" s="14" t="n">
        <v>0</v>
      </c>
      <c r="N694" s="13" t="n">
        <v>18.36</v>
      </c>
      <c r="O694" s="13" t="n">
        <f aca="false">K694*L694*(1-M694)</f>
        <v>1890.75</v>
      </c>
      <c r="P694" s="13" t="n">
        <f aca="false">N694*L694</f>
        <v>1377</v>
      </c>
      <c r="Q694" s="13" t="n">
        <f aca="false">O694-P694</f>
        <v>513.75</v>
      </c>
      <c r="R694" s="11" t="s">
        <v>167</v>
      </c>
      <c r="S694" s="11" t="s">
        <v>47</v>
      </c>
    </row>
    <row r="695" customFormat="false" ht="15" hidden="false" customHeight="true" outlineLevel="0" collapsed="false">
      <c r="A695" s="15" t="s">
        <v>831</v>
      </c>
      <c r="B695" s="16" t="n">
        <v>45767</v>
      </c>
      <c r="C695" s="15" t="s">
        <v>49</v>
      </c>
      <c r="D695" s="15" t="s">
        <v>152</v>
      </c>
      <c r="E695" s="15" t="s">
        <v>152</v>
      </c>
      <c r="F695" s="15" t="s">
        <v>109</v>
      </c>
      <c r="G695" s="15" t="s">
        <v>130</v>
      </c>
      <c r="H695" s="15" t="s">
        <v>43</v>
      </c>
      <c r="I695" s="15" t="s">
        <v>61</v>
      </c>
      <c r="J695" s="15" t="s">
        <v>62</v>
      </c>
      <c r="K695" s="17" t="n">
        <v>517.34</v>
      </c>
      <c r="L695" s="15" t="n">
        <v>10</v>
      </c>
      <c r="M695" s="18" t="n">
        <v>0</v>
      </c>
      <c r="N695" s="17" t="n">
        <v>156.36</v>
      </c>
      <c r="O695" s="17" t="n">
        <f aca="false">K695*L695*(1-M695)</f>
        <v>5173.4</v>
      </c>
      <c r="P695" s="17" t="n">
        <f aca="false">N695*L695</f>
        <v>1563.6</v>
      </c>
      <c r="Q695" s="17" t="n">
        <f aca="false">O695-P695</f>
        <v>3609.8</v>
      </c>
      <c r="R695" s="15" t="s">
        <v>114</v>
      </c>
      <c r="S695" s="15" t="s">
        <v>47</v>
      </c>
    </row>
    <row r="696" customFormat="false" ht="15" hidden="false" customHeight="true" outlineLevel="0" collapsed="false">
      <c r="A696" s="11" t="s">
        <v>832</v>
      </c>
      <c r="B696" s="12" t="n">
        <v>45768</v>
      </c>
      <c r="C696" s="11" t="s">
        <v>74</v>
      </c>
      <c r="D696" s="11" t="s">
        <v>171</v>
      </c>
      <c r="E696" s="11" t="s">
        <v>172</v>
      </c>
      <c r="F696" s="11" t="s">
        <v>118</v>
      </c>
      <c r="G696" s="11" t="s">
        <v>52</v>
      </c>
      <c r="H696" s="11" t="s">
        <v>53</v>
      </c>
      <c r="I696" s="11" t="s">
        <v>69</v>
      </c>
      <c r="J696" s="11" t="s">
        <v>70</v>
      </c>
      <c r="K696" s="13" t="n">
        <v>31.47</v>
      </c>
      <c r="L696" s="11" t="n">
        <v>91</v>
      </c>
      <c r="M696" s="14" t="n">
        <v>0.05</v>
      </c>
      <c r="N696" s="13" t="n">
        <v>19.63</v>
      </c>
      <c r="O696" s="13" t="n">
        <f aca="false">K696*L696*(1-M696)</f>
        <v>2720.5815</v>
      </c>
      <c r="P696" s="13" t="n">
        <f aca="false">N696*L696</f>
        <v>1786.33</v>
      </c>
      <c r="Q696" s="13" t="n">
        <f aca="false">O696-P696</f>
        <v>934.2515</v>
      </c>
      <c r="R696" s="11" t="s">
        <v>63</v>
      </c>
      <c r="S696" s="11" t="s">
        <v>47</v>
      </c>
    </row>
    <row r="697" customFormat="false" ht="15" hidden="false" customHeight="true" outlineLevel="0" collapsed="false">
      <c r="A697" s="15" t="s">
        <v>833</v>
      </c>
      <c r="B697" s="16" t="n">
        <v>45769</v>
      </c>
      <c r="C697" s="15" t="s">
        <v>65</v>
      </c>
      <c r="D697" s="15" t="s">
        <v>82</v>
      </c>
      <c r="E697" s="15" t="s">
        <v>83</v>
      </c>
      <c r="F697" s="15" t="s">
        <v>118</v>
      </c>
      <c r="G697" s="15" t="s">
        <v>42</v>
      </c>
      <c r="H697" s="15" t="s">
        <v>78</v>
      </c>
      <c r="I697" s="15" t="s">
        <v>120</v>
      </c>
      <c r="J697" s="15" t="s">
        <v>121</v>
      </c>
      <c r="K697" s="17" t="n">
        <v>195.51</v>
      </c>
      <c r="L697" s="15" t="n">
        <v>40</v>
      </c>
      <c r="M697" s="18" t="n">
        <v>0</v>
      </c>
      <c r="N697" s="17" t="n">
        <v>137.82</v>
      </c>
      <c r="O697" s="17" t="n">
        <f aca="false">K697*L697*(1-M697)</f>
        <v>7820.4</v>
      </c>
      <c r="P697" s="17" t="n">
        <f aca="false">N697*L697</f>
        <v>5512.8</v>
      </c>
      <c r="Q697" s="17" t="n">
        <f aca="false">O697-P697</f>
        <v>2307.6</v>
      </c>
      <c r="R697" s="15" t="s">
        <v>46</v>
      </c>
      <c r="S697" s="15" t="s">
        <v>47</v>
      </c>
    </row>
    <row r="698" customFormat="false" ht="15" hidden="false" customHeight="true" outlineLevel="0" collapsed="false">
      <c r="A698" s="11" t="s">
        <v>834</v>
      </c>
      <c r="B698" s="12" t="n">
        <v>45769</v>
      </c>
      <c r="C698" s="11" t="s">
        <v>49</v>
      </c>
      <c r="D698" s="11" t="s">
        <v>152</v>
      </c>
      <c r="E698" s="11" t="s">
        <v>152</v>
      </c>
      <c r="F698" s="11" t="s">
        <v>135</v>
      </c>
      <c r="G698" s="11" t="s">
        <v>77</v>
      </c>
      <c r="H698" s="11" t="s">
        <v>43</v>
      </c>
      <c r="I698" s="11" t="s">
        <v>44</v>
      </c>
      <c r="J698" s="11" t="s">
        <v>45</v>
      </c>
      <c r="K698" s="13" t="n">
        <v>194.84</v>
      </c>
      <c r="L698" s="11" t="n">
        <v>3</v>
      </c>
      <c r="M698" s="14" t="n">
        <v>0</v>
      </c>
      <c r="N698" s="13" t="n">
        <v>60.67</v>
      </c>
      <c r="O698" s="13" t="n">
        <f aca="false">K698*L698*(1-M698)</f>
        <v>584.52</v>
      </c>
      <c r="P698" s="13" t="n">
        <f aca="false">N698*L698</f>
        <v>182.01</v>
      </c>
      <c r="Q698" s="13" t="n">
        <f aca="false">O698-P698</f>
        <v>402.51</v>
      </c>
      <c r="R698" s="11" t="s">
        <v>46</v>
      </c>
      <c r="S698" s="11" t="s">
        <v>47</v>
      </c>
    </row>
    <row r="699" customFormat="false" ht="15" hidden="false" customHeight="true" outlineLevel="0" collapsed="false">
      <c r="A699" s="15" t="s">
        <v>835</v>
      </c>
      <c r="B699" s="16" t="n">
        <v>45773</v>
      </c>
      <c r="C699" s="15" t="s">
        <v>49</v>
      </c>
      <c r="D699" s="15" t="s">
        <v>97</v>
      </c>
      <c r="E699" s="15" t="s">
        <v>112</v>
      </c>
      <c r="F699" s="15" t="s">
        <v>41</v>
      </c>
      <c r="G699" s="15" t="s">
        <v>42</v>
      </c>
      <c r="H699" s="15" t="s">
        <v>53</v>
      </c>
      <c r="I699" s="15" t="s">
        <v>69</v>
      </c>
      <c r="J699" s="15" t="s">
        <v>70</v>
      </c>
      <c r="K699" s="17" t="n">
        <v>24.07</v>
      </c>
      <c r="L699" s="15" t="n">
        <v>140</v>
      </c>
      <c r="M699" s="18" t="n">
        <v>0.2</v>
      </c>
      <c r="N699" s="17" t="n">
        <v>17.07</v>
      </c>
      <c r="O699" s="17" t="n">
        <f aca="false">K699*L699*(1-M699)</f>
        <v>2695.84</v>
      </c>
      <c r="P699" s="17" t="n">
        <f aca="false">N699*L699</f>
        <v>2389.8</v>
      </c>
      <c r="Q699" s="17" t="n">
        <f aca="false">O699-P699</f>
        <v>306.04</v>
      </c>
      <c r="R699" s="15" t="s">
        <v>167</v>
      </c>
      <c r="S699" s="15" t="s">
        <v>47</v>
      </c>
    </row>
    <row r="700" customFormat="false" ht="15" hidden="false" customHeight="true" outlineLevel="0" collapsed="false">
      <c r="A700" s="11" t="s">
        <v>836</v>
      </c>
      <c r="B700" s="12" t="n">
        <v>45775</v>
      </c>
      <c r="C700" s="11" t="s">
        <v>49</v>
      </c>
      <c r="D700" s="11" t="s">
        <v>97</v>
      </c>
      <c r="E700" s="11" t="s">
        <v>112</v>
      </c>
      <c r="F700" s="11" t="s">
        <v>109</v>
      </c>
      <c r="G700" s="11" t="s">
        <v>42</v>
      </c>
      <c r="H700" s="11" t="s">
        <v>43</v>
      </c>
      <c r="I700" s="11" t="s">
        <v>61</v>
      </c>
      <c r="J700" s="11" t="s">
        <v>62</v>
      </c>
      <c r="K700" s="13" t="n">
        <v>357.67</v>
      </c>
      <c r="L700" s="11" t="n">
        <v>35</v>
      </c>
      <c r="M700" s="14" t="n">
        <v>0</v>
      </c>
      <c r="N700" s="13" t="n">
        <v>156.53</v>
      </c>
      <c r="O700" s="13" t="n">
        <f aca="false">K700*L700*(1-M700)</f>
        <v>12518.45</v>
      </c>
      <c r="P700" s="13" t="n">
        <f aca="false">N700*L700</f>
        <v>5478.55</v>
      </c>
      <c r="Q700" s="13" t="n">
        <f aca="false">O700-P700</f>
        <v>7039.9</v>
      </c>
      <c r="R700" s="11" t="s">
        <v>46</v>
      </c>
      <c r="S700" s="11" t="s">
        <v>124</v>
      </c>
    </row>
    <row r="701" customFormat="false" ht="15" hidden="false" customHeight="true" outlineLevel="0" collapsed="false">
      <c r="A701" s="15" t="s">
        <v>837</v>
      </c>
      <c r="B701" s="16" t="n">
        <v>45775</v>
      </c>
      <c r="C701" s="15" t="s">
        <v>38</v>
      </c>
      <c r="D701" s="15" t="s">
        <v>39</v>
      </c>
      <c r="E701" s="15" t="s">
        <v>40</v>
      </c>
      <c r="F701" s="15" t="s">
        <v>51</v>
      </c>
      <c r="G701" s="15" t="s">
        <v>52</v>
      </c>
      <c r="H701" s="15" t="s">
        <v>84</v>
      </c>
      <c r="I701" s="15" t="s">
        <v>100</v>
      </c>
      <c r="J701" s="15" t="s">
        <v>101</v>
      </c>
      <c r="K701" s="17" t="n">
        <v>2064.95</v>
      </c>
      <c r="L701" s="15" t="n">
        <v>4</v>
      </c>
      <c r="M701" s="18" t="n">
        <v>0.05</v>
      </c>
      <c r="N701" s="17" t="n">
        <v>1710.69</v>
      </c>
      <c r="O701" s="17" t="n">
        <f aca="false">K701*L701*(1-M701)</f>
        <v>7846.81</v>
      </c>
      <c r="P701" s="17" t="n">
        <f aca="false">N701*L701</f>
        <v>6842.76</v>
      </c>
      <c r="Q701" s="17" t="n">
        <f aca="false">O701-P701</f>
        <v>1004.05</v>
      </c>
      <c r="R701" s="15" t="s">
        <v>63</v>
      </c>
      <c r="S701" s="15" t="s">
        <v>187</v>
      </c>
    </row>
    <row r="702" customFormat="false" ht="15" hidden="false" customHeight="true" outlineLevel="0" collapsed="false">
      <c r="A702" s="11" t="s">
        <v>838</v>
      </c>
      <c r="B702" s="12" t="n">
        <v>45775</v>
      </c>
      <c r="C702" s="11" t="s">
        <v>49</v>
      </c>
      <c r="D702" s="11" t="s">
        <v>152</v>
      </c>
      <c r="E702" s="11" t="s">
        <v>152</v>
      </c>
      <c r="F702" s="11" t="s">
        <v>135</v>
      </c>
      <c r="G702" s="11" t="s">
        <v>130</v>
      </c>
      <c r="H702" s="11" t="s">
        <v>53</v>
      </c>
      <c r="I702" s="11" t="s">
        <v>94</v>
      </c>
      <c r="J702" s="11" t="s">
        <v>95</v>
      </c>
      <c r="K702" s="13" t="n">
        <v>29.15</v>
      </c>
      <c r="L702" s="11" t="n">
        <v>70</v>
      </c>
      <c r="M702" s="14" t="n">
        <v>0</v>
      </c>
      <c r="N702" s="13" t="n">
        <v>17.62</v>
      </c>
      <c r="O702" s="13" t="n">
        <f aca="false">K702*L702*(1-M702)</f>
        <v>2040.5</v>
      </c>
      <c r="P702" s="13" t="n">
        <f aca="false">N702*L702</f>
        <v>1233.4</v>
      </c>
      <c r="Q702" s="13" t="n">
        <f aca="false">O702-P702</f>
        <v>807.1</v>
      </c>
      <c r="R702" s="11" t="s">
        <v>46</v>
      </c>
      <c r="S702" s="11" t="s">
        <v>47</v>
      </c>
    </row>
    <row r="703" customFormat="false" ht="15" hidden="false" customHeight="true" outlineLevel="0" collapsed="false">
      <c r="A703" s="15" t="s">
        <v>839</v>
      </c>
      <c r="B703" s="16" t="n">
        <v>45776</v>
      </c>
      <c r="C703" s="15" t="s">
        <v>49</v>
      </c>
      <c r="D703" s="15" t="s">
        <v>97</v>
      </c>
      <c r="E703" s="15" t="s">
        <v>112</v>
      </c>
      <c r="F703" s="15" t="s">
        <v>135</v>
      </c>
      <c r="G703" s="15" t="s">
        <v>52</v>
      </c>
      <c r="H703" s="15" t="s">
        <v>84</v>
      </c>
      <c r="I703" s="15" t="s">
        <v>136</v>
      </c>
      <c r="J703" s="15" t="s">
        <v>247</v>
      </c>
      <c r="K703" s="17" t="n">
        <v>540.32</v>
      </c>
      <c r="L703" s="15" t="n">
        <v>28</v>
      </c>
      <c r="M703" s="18" t="n">
        <v>0</v>
      </c>
      <c r="N703" s="17" t="n">
        <v>393.23</v>
      </c>
      <c r="O703" s="17" t="n">
        <f aca="false">K703*L703*(1-M703)</f>
        <v>15128.96</v>
      </c>
      <c r="P703" s="17" t="n">
        <f aca="false">N703*L703</f>
        <v>11010.44</v>
      </c>
      <c r="Q703" s="17" t="n">
        <f aca="false">O703-P703</f>
        <v>4118.52</v>
      </c>
      <c r="R703" s="15" t="s">
        <v>71</v>
      </c>
      <c r="S703" s="15" t="s">
        <v>47</v>
      </c>
    </row>
    <row r="704" customFormat="false" ht="15" hidden="false" customHeight="true" outlineLevel="0" collapsed="false">
      <c r="A704" s="11" t="s">
        <v>840</v>
      </c>
      <c r="B704" s="12" t="n">
        <v>45777</v>
      </c>
      <c r="C704" s="11" t="s">
        <v>49</v>
      </c>
      <c r="D704" s="11" t="s">
        <v>97</v>
      </c>
      <c r="E704" s="11" t="s">
        <v>108</v>
      </c>
      <c r="F704" s="11" t="s">
        <v>99</v>
      </c>
      <c r="G704" s="11" t="s">
        <v>77</v>
      </c>
      <c r="H704" s="11" t="s">
        <v>78</v>
      </c>
      <c r="I704" s="11" t="s">
        <v>120</v>
      </c>
      <c r="J704" s="11" t="s">
        <v>121</v>
      </c>
      <c r="K704" s="13" t="n">
        <v>260.23</v>
      </c>
      <c r="L704" s="11" t="n">
        <v>61</v>
      </c>
      <c r="M704" s="14" t="n">
        <v>0</v>
      </c>
      <c r="N704" s="13" t="n">
        <v>205.28</v>
      </c>
      <c r="O704" s="13" t="n">
        <f aca="false">K704*L704*(1-M704)</f>
        <v>15874.03</v>
      </c>
      <c r="P704" s="13" t="n">
        <f aca="false">N704*L704</f>
        <v>12522.08</v>
      </c>
      <c r="Q704" s="13" t="n">
        <f aca="false">O704-P704</f>
        <v>3351.95</v>
      </c>
      <c r="R704" s="11" t="s">
        <v>71</v>
      </c>
      <c r="S704" s="11" t="s">
        <v>47</v>
      </c>
    </row>
    <row r="705" customFormat="false" ht="15" hidden="false" customHeight="true" outlineLevel="0" collapsed="false">
      <c r="A705" s="15" t="s">
        <v>841</v>
      </c>
      <c r="B705" s="16" t="n">
        <v>45777</v>
      </c>
      <c r="C705" s="15" t="s">
        <v>49</v>
      </c>
      <c r="D705" s="15" t="s">
        <v>50</v>
      </c>
      <c r="E705" s="15" t="s">
        <v>50</v>
      </c>
      <c r="F705" s="15" t="s">
        <v>123</v>
      </c>
      <c r="G705" s="15" t="s">
        <v>77</v>
      </c>
      <c r="H705" s="15" t="s">
        <v>43</v>
      </c>
      <c r="I705" s="15" t="s">
        <v>61</v>
      </c>
      <c r="J705" s="15" t="s">
        <v>147</v>
      </c>
      <c r="K705" s="17" t="n">
        <v>188.16</v>
      </c>
      <c r="L705" s="15" t="n">
        <v>16</v>
      </c>
      <c r="M705" s="18" t="n">
        <v>0</v>
      </c>
      <c r="N705" s="17" t="n">
        <v>65.56</v>
      </c>
      <c r="O705" s="17" t="n">
        <f aca="false">K705*L705*(1-M705)</f>
        <v>3010.56</v>
      </c>
      <c r="P705" s="17" t="n">
        <f aca="false">N705*L705</f>
        <v>1048.96</v>
      </c>
      <c r="Q705" s="17" t="n">
        <f aca="false">O705-P705</f>
        <v>1961.6</v>
      </c>
      <c r="R705" s="15" t="s">
        <v>63</v>
      </c>
      <c r="S705" s="15" t="s">
        <v>47</v>
      </c>
    </row>
    <row r="706" customFormat="false" ht="15" hidden="false" customHeight="true" outlineLevel="0" collapsed="false">
      <c r="A706" s="11" t="s">
        <v>842</v>
      </c>
      <c r="B706" s="12" t="n">
        <v>45778</v>
      </c>
      <c r="C706" s="11" t="s">
        <v>65</v>
      </c>
      <c r="D706" s="11" t="s">
        <v>66</v>
      </c>
      <c r="E706" s="11" t="s">
        <v>67</v>
      </c>
      <c r="F706" s="11" t="s">
        <v>68</v>
      </c>
      <c r="G706" s="11" t="s">
        <v>52</v>
      </c>
      <c r="H706" s="11" t="s">
        <v>53</v>
      </c>
      <c r="I706" s="11" t="s">
        <v>94</v>
      </c>
      <c r="J706" s="11" t="s">
        <v>131</v>
      </c>
      <c r="K706" s="13" t="n">
        <v>29.07</v>
      </c>
      <c r="L706" s="11" t="n">
        <v>34</v>
      </c>
      <c r="M706" s="14" t="n">
        <v>0</v>
      </c>
      <c r="N706" s="13" t="n">
        <v>19.31</v>
      </c>
      <c r="O706" s="13" t="n">
        <f aca="false">K706*L706*(1-M706)</f>
        <v>988.38</v>
      </c>
      <c r="P706" s="13" t="n">
        <f aca="false">N706*L706</f>
        <v>656.54</v>
      </c>
      <c r="Q706" s="13" t="n">
        <f aca="false">O706-P706</f>
        <v>331.84</v>
      </c>
      <c r="R706" s="11" t="s">
        <v>46</v>
      </c>
      <c r="S706" s="11" t="s">
        <v>47</v>
      </c>
    </row>
    <row r="707" customFormat="false" ht="15" hidden="false" customHeight="true" outlineLevel="0" collapsed="false">
      <c r="A707" s="15" t="s">
        <v>843</v>
      </c>
      <c r="B707" s="16" t="n">
        <v>45778</v>
      </c>
      <c r="C707" s="15" t="s">
        <v>49</v>
      </c>
      <c r="D707" s="15" t="s">
        <v>97</v>
      </c>
      <c r="E707" s="15" t="s">
        <v>108</v>
      </c>
      <c r="F707" s="15" t="s">
        <v>41</v>
      </c>
      <c r="G707" s="15" t="s">
        <v>42</v>
      </c>
      <c r="H707" s="15" t="s">
        <v>78</v>
      </c>
      <c r="I707" s="15" t="s">
        <v>154</v>
      </c>
      <c r="J707" s="15" t="s">
        <v>186</v>
      </c>
      <c r="K707" s="17" t="n">
        <v>778.31</v>
      </c>
      <c r="L707" s="15" t="n">
        <v>9</v>
      </c>
      <c r="M707" s="18" t="n">
        <v>0.05</v>
      </c>
      <c r="N707" s="17" t="n">
        <v>635.3</v>
      </c>
      <c r="O707" s="17" t="n">
        <f aca="false">K707*L707*(1-M707)</f>
        <v>6654.5505</v>
      </c>
      <c r="P707" s="17" t="n">
        <f aca="false">N707*L707</f>
        <v>5717.7</v>
      </c>
      <c r="Q707" s="17" t="n">
        <f aca="false">O707-P707</f>
        <v>936.850499999999</v>
      </c>
      <c r="R707" s="15" t="s">
        <v>114</v>
      </c>
      <c r="S707" s="15" t="s">
        <v>47</v>
      </c>
    </row>
    <row r="708" customFormat="false" ht="15" hidden="false" customHeight="true" outlineLevel="0" collapsed="false">
      <c r="A708" s="11" t="s">
        <v>844</v>
      </c>
      <c r="B708" s="12" t="n">
        <v>45779</v>
      </c>
      <c r="C708" s="11" t="s">
        <v>49</v>
      </c>
      <c r="D708" s="11" t="s">
        <v>97</v>
      </c>
      <c r="E708" s="11" t="s">
        <v>98</v>
      </c>
      <c r="F708" s="11" t="s">
        <v>177</v>
      </c>
      <c r="G708" s="11" t="s">
        <v>42</v>
      </c>
      <c r="H708" s="11" t="s">
        <v>78</v>
      </c>
      <c r="I708" s="11" t="s">
        <v>143</v>
      </c>
      <c r="J708" s="11" t="s">
        <v>158</v>
      </c>
      <c r="K708" s="13" t="n">
        <v>816.77</v>
      </c>
      <c r="L708" s="11" t="n">
        <v>23</v>
      </c>
      <c r="M708" s="14" t="n">
        <v>0.05</v>
      </c>
      <c r="N708" s="13" t="n">
        <v>699.17</v>
      </c>
      <c r="O708" s="13" t="n">
        <f aca="false">K708*L708*(1-M708)</f>
        <v>17846.4245</v>
      </c>
      <c r="P708" s="13" t="n">
        <f aca="false">N708*L708</f>
        <v>16080.91</v>
      </c>
      <c r="Q708" s="13" t="n">
        <f aca="false">O708-P708</f>
        <v>1765.5145</v>
      </c>
      <c r="R708" s="11" t="s">
        <v>63</v>
      </c>
      <c r="S708" s="11" t="s">
        <v>47</v>
      </c>
    </row>
    <row r="709" customFormat="false" ht="15" hidden="false" customHeight="true" outlineLevel="0" collapsed="false">
      <c r="A709" s="15" t="s">
        <v>845</v>
      </c>
      <c r="B709" s="16" t="n">
        <v>45780</v>
      </c>
      <c r="C709" s="15" t="s">
        <v>49</v>
      </c>
      <c r="D709" s="15" t="s">
        <v>97</v>
      </c>
      <c r="E709" s="15" t="s">
        <v>98</v>
      </c>
      <c r="F709" s="15" t="s">
        <v>109</v>
      </c>
      <c r="G709" s="15" t="s">
        <v>52</v>
      </c>
      <c r="H709" s="15" t="s">
        <v>84</v>
      </c>
      <c r="I709" s="15" t="s">
        <v>100</v>
      </c>
      <c r="J709" s="15" t="s">
        <v>139</v>
      </c>
      <c r="K709" s="17" t="n">
        <v>1016.07</v>
      </c>
      <c r="L709" s="15" t="n">
        <v>19</v>
      </c>
      <c r="M709" s="18" t="n">
        <v>0</v>
      </c>
      <c r="N709" s="17" t="n">
        <v>797.99</v>
      </c>
      <c r="O709" s="17" t="n">
        <f aca="false">K709*L709*(1-M709)</f>
        <v>19305.33</v>
      </c>
      <c r="P709" s="17" t="n">
        <f aca="false">N709*L709</f>
        <v>15161.81</v>
      </c>
      <c r="Q709" s="17" t="n">
        <f aca="false">O709-P709</f>
        <v>4143.52</v>
      </c>
      <c r="R709" s="15" t="s">
        <v>114</v>
      </c>
      <c r="S709" s="15" t="s">
        <v>47</v>
      </c>
    </row>
    <row r="710" customFormat="false" ht="15" hidden="false" customHeight="true" outlineLevel="0" collapsed="false">
      <c r="A710" s="11" t="s">
        <v>846</v>
      </c>
      <c r="B710" s="12" t="n">
        <v>45780</v>
      </c>
      <c r="C710" s="11" t="s">
        <v>38</v>
      </c>
      <c r="D710" s="11" t="s">
        <v>92</v>
      </c>
      <c r="E710" s="11" t="s">
        <v>93</v>
      </c>
      <c r="F710" s="11" t="s">
        <v>118</v>
      </c>
      <c r="G710" s="11" t="s">
        <v>52</v>
      </c>
      <c r="H710" s="11" t="s">
        <v>78</v>
      </c>
      <c r="I710" s="11" t="s">
        <v>154</v>
      </c>
      <c r="J710" s="11" t="s">
        <v>186</v>
      </c>
      <c r="K710" s="13" t="n">
        <v>776.45</v>
      </c>
      <c r="L710" s="11" t="n">
        <v>18</v>
      </c>
      <c r="M710" s="14" t="n">
        <v>0</v>
      </c>
      <c r="N710" s="13" t="n">
        <v>621.15</v>
      </c>
      <c r="O710" s="13" t="n">
        <f aca="false">K710*L710*(1-M710)</f>
        <v>13976.1</v>
      </c>
      <c r="P710" s="13" t="n">
        <f aca="false">N710*L710</f>
        <v>11180.7</v>
      </c>
      <c r="Q710" s="13" t="n">
        <f aca="false">O710-P710</f>
        <v>2795.4</v>
      </c>
      <c r="R710" s="11" t="s">
        <v>114</v>
      </c>
      <c r="S710" s="11" t="s">
        <v>47</v>
      </c>
    </row>
    <row r="711" customFormat="false" ht="15" hidden="false" customHeight="true" outlineLevel="0" collapsed="false">
      <c r="A711" s="15" t="s">
        <v>847</v>
      </c>
      <c r="B711" s="16" t="n">
        <v>45780</v>
      </c>
      <c r="C711" s="15" t="s">
        <v>49</v>
      </c>
      <c r="D711" s="15" t="s">
        <v>152</v>
      </c>
      <c r="E711" s="15" t="s">
        <v>152</v>
      </c>
      <c r="F711" s="15" t="s">
        <v>177</v>
      </c>
      <c r="G711" s="15" t="s">
        <v>52</v>
      </c>
      <c r="H711" s="15" t="s">
        <v>53</v>
      </c>
      <c r="I711" s="15" t="s">
        <v>94</v>
      </c>
      <c r="J711" s="15" t="s">
        <v>131</v>
      </c>
      <c r="K711" s="17" t="n">
        <v>27.87</v>
      </c>
      <c r="L711" s="15" t="n">
        <v>83</v>
      </c>
      <c r="M711" s="18" t="n">
        <v>0.1</v>
      </c>
      <c r="N711" s="17" t="n">
        <v>15.47</v>
      </c>
      <c r="O711" s="17" t="n">
        <f aca="false">K711*L711*(1-M711)</f>
        <v>2081.889</v>
      </c>
      <c r="P711" s="17" t="n">
        <f aca="false">N711*L711</f>
        <v>1284.01</v>
      </c>
      <c r="Q711" s="17" t="n">
        <f aca="false">O711-P711</f>
        <v>797.879</v>
      </c>
      <c r="R711" s="15" t="s">
        <v>46</v>
      </c>
      <c r="S711" s="15" t="s">
        <v>47</v>
      </c>
    </row>
    <row r="712" customFormat="false" ht="15" hidden="false" customHeight="true" outlineLevel="0" collapsed="false">
      <c r="A712" s="11" t="s">
        <v>848</v>
      </c>
      <c r="B712" s="12" t="n">
        <v>45781</v>
      </c>
      <c r="C712" s="11" t="s">
        <v>74</v>
      </c>
      <c r="D712" s="11" t="s">
        <v>75</v>
      </c>
      <c r="E712" s="11" t="s">
        <v>76</v>
      </c>
      <c r="F712" s="11" t="s">
        <v>135</v>
      </c>
      <c r="G712" s="11" t="s">
        <v>42</v>
      </c>
      <c r="H712" s="11" t="s">
        <v>78</v>
      </c>
      <c r="I712" s="11" t="s">
        <v>79</v>
      </c>
      <c r="J712" s="11" t="s">
        <v>216</v>
      </c>
      <c r="K712" s="13" t="n">
        <v>3214.29</v>
      </c>
      <c r="L712" s="11" t="n">
        <v>1</v>
      </c>
      <c r="M712" s="14" t="n">
        <v>0.05</v>
      </c>
      <c r="N712" s="13" t="n">
        <v>2702.74</v>
      </c>
      <c r="O712" s="13" t="n">
        <f aca="false">K712*L712*(1-M712)</f>
        <v>3053.5755</v>
      </c>
      <c r="P712" s="13" t="n">
        <f aca="false">N712*L712</f>
        <v>2702.74</v>
      </c>
      <c r="Q712" s="13" t="n">
        <f aca="false">O712-P712</f>
        <v>350.8355</v>
      </c>
      <c r="R712" s="11" t="s">
        <v>63</v>
      </c>
      <c r="S712" s="11" t="s">
        <v>47</v>
      </c>
    </row>
    <row r="713" customFormat="false" ht="15" hidden="false" customHeight="true" outlineLevel="0" collapsed="false">
      <c r="A713" s="15" t="s">
        <v>849</v>
      </c>
      <c r="B713" s="16" t="n">
        <v>45782</v>
      </c>
      <c r="C713" s="15" t="s">
        <v>57</v>
      </c>
      <c r="D713" s="15" t="s">
        <v>162</v>
      </c>
      <c r="E713" s="15" t="s">
        <v>163</v>
      </c>
      <c r="F713" s="15" t="s">
        <v>60</v>
      </c>
      <c r="G713" s="15" t="s">
        <v>52</v>
      </c>
      <c r="H713" s="15" t="s">
        <v>78</v>
      </c>
      <c r="I713" s="15" t="s">
        <v>143</v>
      </c>
      <c r="J713" s="15" t="s">
        <v>158</v>
      </c>
      <c r="K713" s="17" t="n">
        <v>724.15</v>
      </c>
      <c r="L713" s="15" t="n">
        <v>10</v>
      </c>
      <c r="M713" s="18" t="n">
        <v>0.05</v>
      </c>
      <c r="N713" s="17" t="n">
        <v>622.14</v>
      </c>
      <c r="O713" s="17" t="n">
        <f aca="false">K713*L713*(1-M713)</f>
        <v>6879.425</v>
      </c>
      <c r="P713" s="17" t="n">
        <f aca="false">N713*L713</f>
        <v>6221.4</v>
      </c>
      <c r="Q713" s="17" t="n">
        <f aca="false">O713-P713</f>
        <v>658.025</v>
      </c>
      <c r="R713" s="15" t="s">
        <v>63</v>
      </c>
      <c r="S713" s="15" t="s">
        <v>47</v>
      </c>
    </row>
    <row r="714" customFormat="false" ht="15" hidden="false" customHeight="true" outlineLevel="0" collapsed="false">
      <c r="A714" s="11" t="s">
        <v>850</v>
      </c>
      <c r="B714" s="12" t="n">
        <v>45782</v>
      </c>
      <c r="C714" s="11" t="s">
        <v>65</v>
      </c>
      <c r="D714" s="11" t="s">
        <v>66</v>
      </c>
      <c r="E714" s="11" t="s">
        <v>67</v>
      </c>
      <c r="F714" s="11" t="s">
        <v>177</v>
      </c>
      <c r="G714" s="11" t="s">
        <v>52</v>
      </c>
      <c r="H714" s="11" t="s">
        <v>43</v>
      </c>
      <c r="I714" s="11" t="s">
        <v>44</v>
      </c>
      <c r="J714" s="11" t="s">
        <v>106</v>
      </c>
      <c r="K714" s="13" t="n">
        <v>486.07</v>
      </c>
      <c r="L714" s="11" t="n">
        <v>43</v>
      </c>
      <c r="M714" s="14" t="n">
        <v>0.05</v>
      </c>
      <c r="N714" s="13" t="n">
        <v>149.84</v>
      </c>
      <c r="O714" s="13" t="n">
        <f aca="false">K714*L714*(1-M714)</f>
        <v>19855.9595</v>
      </c>
      <c r="P714" s="13" t="n">
        <f aca="false">N714*L714</f>
        <v>6443.12</v>
      </c>
      <c r="Q714" s="13" t="n">
        <f aca="false">O714-P714</f>
        <v>13412.8395</v>
      </c>
      <c r="R714" s="11" t="s">
        <v>63</v>
      </c>
      <c r="S714" s="11" t="s">
        <v>47</v>
      </c>
    </row>
    <row r="715" customFormat="false" ht="15" hidden="false" customHeight="true" outlineLevel="0" collapsed="false">
      <c r="A715" s="15" t="s">
        <v>851</v>
      </c>
      <c r="B715" s="16" t="n">
        <v>45782</v>
      </c>
      <c r="C715" s="15" t="s">
        <v>49</v>
      </c>
      <c r="D715" s="15" t="s">
        <v>97</v>
      </c>
      <c r="E715" s="15" t="s">
        <v>98</v>
      </c>
      <c r="F715" s="15" t="s">
        <v>177</v>
      </c>
      <c r="G715" s="15" t="s">
        <v>52</v>
      </c>
      <c r="H715" s="15" t="s">
        <v>43</v>
      </c>
      <c r="I715" s="15" t="s">
        <v>44</v>
      </c>
      <c r="J715" s="15" t="s">
        <v>45</v>
      </c>
      <c r="K715" s="17" t="n">
        <v>140.51</v>
      </c>
      <c r="L715" s="15" t="n">
        <v>55</v>
      </c>
      <c r="M715" s="18" t="n">
        <v>0</v>
      </c>
      <c r="N715" s="17" t="n">
        <v>56.92</v>
      </c>
      <c r="O715" s="17" t="n">
        <f aca="false">K715*L715*(1-M715)</f>
        <v>7728.05</v>
      </c>
      <c r="P715" s="17" t="n">
        <f aca="false">N715*L715</f>
        <v>3130.6</v>
      </c>
      <c r="Q715" s="17" t="n">
        <f aca="false">O715-P715</f>
        <v>4597.45</v>
      </c>
      <c r="R715" s="15" t="s">
        <v>46</v>
      </c>
      <c r="S715" s="15" t="s">
        <v>47</v>
      </c>
    </row>
    <row r="716" customFormat="false" ht="15" hidden="false" customHeight="true" outlineLevel="0" collapsed="false">
      <c r="A716" s="11" t="s">
        <v>852</v>
      </c>
      <c r="B716" s="12" t="n">
        <v>45783</v>
      </c>
      <c r="C716" s="11" t="s">
        <v>49</v>
      </c>
      <c r="D716" s="11" t="s">
        <v>152</v>
      </c>
      <c r="E716" s="11" t="s">
        <v>152</v>
      </c>
      <c r="F716" s="11" t="s">
        <v>118</v>
      </c>
      <c r="G716" s="11" t="s">
        <v>77</v>
      </c>
      <c r="H716" s="11" t="s">
        <v>78</v>
      </c>
      <c r="I716" s="11" t="s">
        <v>120</v>
      </c>
      <c r="J716" s="11" t="s">
        <v>121</v>
      </c>
      <c r="K716" s="13" t="n">
        <v>365.24</v>
      </c>
      <c r="L716" s="11" t="n">
        <v>54</v>
      </c>
      <c r="M716" s="14" t="n">
        <v>0</v>
      </c>
      <c r="N716" s="13" t="n">
        <v>293.87</v>
      </c>
      <c r="O716" s="13" t="n">
        <f aca="false">K716*L716*(1-M716)</f>
        <v>19722.96</v>
      </c>
      <c r="P716" s="13" t="n">
        <f aca="false">N716*L716</f>
        <v>15868.98</v>
      </c>
      <c r="Q716" s="13" t="n">
        <f aca="false">O716-P716</f>
        <v>3853.98</v>
      </c>
      <c r="R716" s="11" t="s">
        <v>63</v>
      </c>
      <c r="S716" s="11" t="s">
        <v>47</v>
      </c>
    </row>
    <row r="717" customFormat="false" ht="15" hidden="false" customHeight="true" outlineLevel="0" collapsed="false">
      <c r="A717" s="15" t="s">
        <v>853</v>
      </c>
      <c r="B717" s="16" t="n">
        <v>45783</v>
      </c>
      <c r="C717" s="15" t="s">
        <v>49</v>
      </c>
      <c r="D717" s="15" t="s">
        <v>97</v>
      </c>
      <c r="E717" s="15" t="s">
        <v>98</v>
      </c>
      <c r="F717" s="15" t="s">
        <v>51</v>
      </c>
      <c r="G717" s="15" t="s">
        <v>77</v>
      </c>
      <c r="H717" s="15" t="s">
        <v>84</v>
      </c>
      <c r="I717" s="15" t="s">
        <v>100</v>
      </c>
      <c r="J717" s="15" t="s">
        <v>101</v>
      </c>
      <c r="K717" s="17" t="n">
        <v>2266.46</v>
      </c>
      <c r="L717" s="15" t="n">
        <v>4</v>
      </c>
      <c r="M717" s="18" t="n">
        <v>0.1</v>
      </c>
      <c r="N717" s="17" t="n">
        <v>1750.91</v>
      </c>
      <c r="O717" s="17" t="n">
        <f aca="false">K717*L717*(1-M717)</f>
        <v>8159.256</v>
      </c>
      <c r="P717" s="17" t="n">
        <f aca="false">N717*L717</f>
        <v>7003.64</v>
      </c>
      <c r="Q717" s="17" t="n">
        <f aca="false">O717-P717</f>
        <v>1155.616</v>
      </c>
      <c r="R717" s="15" t="s">
        <v>114</v>
      </c>
      <c r="S717" s="15" t="s">
        <v>47</v>
      </c>
    </row>
    <row r="718" customFormat="false" ht="15" hidden="false" customHeight="true" outlineLevel="0" collapsed="false">
      <c r="A718" s="11" t="s">
        <v>854</v>
      </c>
      <c r="B718" s="12" t="n">
        <v>45785</v>
      </c>
      <c r="C718" s="11" t="s">
        <v>57</v>
      </c>
      <c r="D718" s="11" t="s">
        <v>58</v>
      </c>
      <c r="E718" s="11" t="s">
        <v>59</v>
      </c>
      <c r="F718" s="11" t="s">
        <v>41</v>
      </c>
      <c r="G718" s="11" t="s">
        <v>42</v>
      </c>
      <c r="H718" s="11" t="s">
        <v>78</v>
      </c>
      <c r="I718" s="11" t="s">
        <v>154</v>
      </c>
      <c r="J718" s="11" t="s">
        <v>186</v>
      </c>
      <c r="K718" s="13" t="n">
        <v>480.07</v>
      </c>
      <c r="L718" s="11" t="n">
        <v>5</v>
      </c>
      <c r="M718" s="14" t="n">
        <v>0</v>
      </c>
      <c r="N718" s="13" t="n">
        <v>392.47</v>
      </c>
      <c r="O718" s="13" t="n">
        <f aca="false">K718*L718*(1-M718)</f>
        <v>2400.35</v>
      </c>
      <c r="P718" s="13" t="n">
        <f aca="false">N718*L718</f>
        <v>1962.35</v>
      </c>
      <c r="Q718" s="13" t="n">
        <f aca="false">O718-P718</f>
        <v>438</v>
      </c>
      <c r="R718" s="11" t="s">
        <v>46</v>
      </c>
      <c r="S718" s="11" t="s">
        <v>187</v>
      </c>
    </row>
    <row r="719" customFormat="false" ht="15" hidden="false" customHeight="true" outlineLevel="0" collapsed="false">
      <c r="A719" s="15" t="s">
        <v>855</v>
      </c>
      <c r="B719" s="16" t="n">
        <v>45788</v>
      </c>
      <c r="C719" s="15" t="s">
        <v>57</v>
      </c>
      <c r="D719" s="15" t="s">
        <v>103</v>
      </c>
      <c r="E719" s="15" t="s">
        <v>104</v>
      </c>
      <c r="F719" s="15" t="s">
        <v>177</v>
      </c>
      <c r="G719" s="15" t="s">
        <v>77</v>
      </c>
      <c r="H719" s="15" t="s">
        <v>53</v>
      </c>
      <c r="I719" s="15" t="s">
        <v>94</v>
      </c>
      <c r="J719" s="15" t="s">
        <v>131</v>
      </c>
      <c r="K719" s="17" t="n">
        <v>45.43</v>
      </c>
      <c r="L719" s="15" t="n">
        <v>61</v>
      </c>
      <c r="M719" s="18" t="n">
        <v>0.05</v>
      </c>
      <c r="N719" s="17" t="n">
        <v>25.55</v>
      </c>
      <c r="O719" s="17" t="n">
        <f aca="false">K719*L719*(1-M719)</f>
        <v>2632.6685</v>
      </c>
      <c r="P719" s="17" t="n">
        <f aca="false">N719*L719</f>
        <v>1558.55</v>
      </c>
      <c r="Q719" s="17" t="n">
        <f aca="false">O719-P719</f>
        <v>1074.1185</v>
      </c>
      <c r="R719" s="15" t="s">
        <v>46</v>
      </c>
      <c r="S719" s="15" t="s">
        <v>47</v>
      </c>
    </row>
    <row r="720" customFormat="false" ht="15" hidden="false" customHeight="true" outlineLevel="0" collapsed="false">
      <c r="A720" s="11" t="s">
        <v>856</v>
      </c>
      <c r="B720" s="12" t="n">
        <v>45788</v>
      </c>
      <c r="C720" s="11" t="s">
        <v>65</v>
      </c>
      <c r="D720" s="11" t="s">
        <v>66</v>
      </c>
      <c r="E720" s="11" t="s">
        <v>67</v>
      </c>
      <c r="F720" s="11" t="s">
        <v>135</v>
      </c>
      <c r="G720" s="11" t="s">
        <v>42</v>
      </c>
      <c r="H720" s="11" t="s">
        <v>53</v>
      </c>
      <c r="I720" s="11" t="s">
        <v>94</v>
      </c>
      <c r="J720" s="11" t="s">
        <v>131</v>
      </c>
      <c r="K720" s="13" t="n">
        <v>31.09</v>
      </c>
      <c r="L720" s="11" t="n">
        <v>81</v>
      </c>
      <c r="M720" s="14" t="n">
        <v>0.15</v>
      </c>
      <c r="N720" s="13" t="n">
        <v>19.69</v>
      </c>
      <c r="O720" s="13" t="n">
        <f aca="false">K720*L720*(1-M720)</f>
        <v>2140.5465</v>
      </c>
      <c r="P720" s="13" t="n">
        <f aca="false">N720*L720</f>
        <v>1594.89</v>
      </c>
      <c r="Q720" s="13" t="n">
        <f aca="false">O720-P720</f>
        <v>545.6565</v>
      </c>
      <c r="R720" s="11" t="s">
        <v>46</v>
      </c>
      <c r="S720" s="11" t="s">
        <v>47</v>
      </c>
    </row>
    <row r="721" customFormat="false" ht="15" hidden="false" customHeight="true" outlineLevel="0" collapsed="false">
      <c r="A721" s="15" t="s">
        <v>857</v>
      </c>
      <c r="B721" s="16" t="n">
        <v>45788</v>
      </c>
      <c r="C721" s="15" t="s">
        <v>65</v>
      </c>
      <c r="D721" s="15" t="s">
        <v>149</v>
      </c>
      <c r="E721" s="15" t="s">
        <v>150</v>
      </c>
      <c r="F721" s="15" t="s">
        <v>123</v>
      </c>
      <c r="G721" s="15" t="s">
        <v>42</v>
      </c>
      <c r="H721" s="15" t="s">
        <v>43</v>
      </c>
      <c r="I721" s="15" t="s">
        <v>61</v>
      </c>
      <c r="J721" s="15" t="s">
        <v>147</v>
      </c>
      <c r="K721" s="17" t="n">
        <v>356.23</v>
      </c>
      <c r="L721" s="15" t="n">
        <v>19</v>
      </c>
      <c r="M721" s="18" t="n">
        <v>0.05</v>
      </c>
      <c r="N721" s="17" t="n">
        <v>147.45</v>
      </c>
      <c r="O721" s="17" t="n">
        <f aca="false">K721*L721*(1-M721)</f>
        <v>6429.9515</v>
      </c>
      <c r="P721" s="17" t="n">
        <f aca="false">N721*L721</f>
        <v>2801.55</v>
      </c>
      <c r="Q721" s="17" t="n">
        <f aca="false">O721-P721</f>
        <v>3628.4015</v>
      </c>
      <c r="R721" s="15" t="s">
        <v>167</v>
      </c>
      <c r="S721" s="15" t="s">
        <v>72</v>
      </c>
    </row>
    <row r="722" customFormat="false" ht="15" hidden="false" customHeight="true" outlineLevel="0" collapsed="false">
      <c r="A722" s="11" t="s">
        <v>858</v>
      </c>
      <c r="B722" s="12" t="n">
        <v>45790</v>
      </c>
      <c r="C722" s="11" t="s">
        <v>57</v>
      </c>
      <c r="D722" s="11" t="s">
        <v>58</v>
      </c>
      <c r="E722" s="11" t="s">
        <v>59</v>
      </c>
      <c r="F722" s="11" t="s">
        <v>109</v>
      </c>
      <c r="G722" s="11" t="s">
        <v>52</v>
      </c>
      <c r="H722" s="11" t="s">
        <v>78</v>
      </c>
      <c r="I722" s="11" t="s">
        <v>154</v>
      </c>
      <c r="J722" s="11" t="s">
        <v>155</v>
      </c>
      <c r="K722" s="13" t="n">
        <v>670.79</v>
      </c>
      <c r="L722" s="11" t="n">
        <v>20</v>
      </c>
      <c r="M722" s="14" t="n">
        <v>0.15</v>
      </c>
      <c r="N722" s="13" t="n">
        <v>553.47</v>
      </c>
      <c r="O722" s="13" t="n">
        <f aca="false">K722*L722*(1-M722)</f>
        <v>11403.43</v>
      </c>
      <c r="P722" s="13" t="n">
        <f aca="false">N722*L722</f>
        <v>11069.4</v>
      </c>
      <c r="Q722" s="13" t="n">
        <f aca="false">O722-P722</f>
        <v>334.029999999997</v>
      </c>
      <c r="R722" s="11" t="s">
        <v>46</v>
      </c>
      <c r="S722" s="11" t="s">
        <v>47</v>
      </c>
    </row>
    <row r="723" customFormat="false" ht="15" hidden="false" customHeight="true" outlineLevel="0" collapsed="false">
      <c r="A723" s="15" t="s">
        <v>859</v>
      </c>
      <c r="B723" s="16" t="n">
        <v>45791</v>
      </c>
      <c r="C723" s="15" t="s">
        <v>49</v>
      </c>
      <c r="D723" s="15" t="s">
        <v>97</v>
      </c>
      <c r="E723" s="15" t="s">
        <v>108</v>
      </c>
      <c r="F723" s="15" t="s">
        <v>109</v>
      </c>
      <c r="G723" s="15" t="s">
        <v>42</v>
      </c>
      <c r="H723" s="15" t="s">
        <v>53</v>
      </c>
      <c r="I723" s="15" t="s">
        <v>94</v>
      </c>
      <c r="J723" s="15" t="s">
        <v>131</v>
      </c>
      <c r="K723" s="17" t="n">
        <v>51.34</v>
      </c>
      <c r="L723" s="15" t="n">
        <v>19</v>
      </c>
      <c r="M723" s="18" t="n">
        <v>0.05</v>
      </c>
      <c r="N723" s="17" t="n">
        <v>35.47</v>
      </c>
      <c r="O723" s="17" t="n">
        <f aca="false">K723*L723*(1-M723)</f>
        <v>926.687</v>
      </c>
      <c r="P723" s="17" t="n">
        <f aca="false">N723*L723</f>
        <v>673.93</v>
      </c>
      <c r="Q723" s="17" t="n">
        <f aca="false">O723-P723</f>
        <v>252.757</v>
      </c>
      <c r="R723" s="15" t="s">
        <v>46</v>
      </c>
      <c r="S723" s="15" t="s">
        <v>47</v>
      </c>
    </row>
    <row r="724" customFormat="false" ht="15" hidden="false" customHeight="true" outlineLevel="0" collapsed="false">
      <c r="A724" s="11" t="s">
        <v>860</v>
      </c>
      <c r="B724" s="12" t="n">
        <v>45791</v>
      </c>
      <c r="C724" s="11" t="s">
        <v>49</v>
      </c>
      <c r="D724" s="11" t="s">
        <v>152</v>
      </c>
      <c r="E724" s="11" t="s">
        <v>152</v>
      </c>
      <c r="F724" s="11" t="s">
        <v>99</v>
      </c>
      <c r="G724" s="11" t="s">
        <v>77</v>
      </c>
      <c r="H724" s="11" t="s">
        <v>53</v>
      </c>
      <c r="I724" s="11" t="s">
        <v>54</v>
      </c>
      <c r="J724" s="11" t="s">
        <v>55</v>
      </c>
      <c r="K724" s="13" t="n">
        <v>9.41</v>
      </c>
      <c r="L724" s="11" t="n">
        <v>39</v>
      </c>
      <c r="M724" s="14" t="n">
        <v>0</v>
      </c>
      <c r="N724" s="13" t="n">
        <v>6.65</v>
      </c>
      <c r="O724" s="13" t="n">
        <f aca="false">K724*L724*(1-M724)</f>
        <v>366.99</v>
      </c>
      <c r="P724" s="13" t="n">
        <f aca="false">N724*L724</f>
        <v>259.35</v>
      </c>
      <c r="Q724" s="13" t="n">
        <f aca="false">O724-P724</f>
        <v>107.64</v>
      </c>
      <c r="R724" s="11" t="s">
        <v>63</v>
      </c>
      <c r="S724" s="11" t="s">
        <v>47</v>
      </c>
    </row>
    <row r="725" customFormat="false" ht="15" hidden="false" customHeight="true" outlineLevel="0" collapsed="false">
      <c r="A725" s="15" t="s">
        <v>861</v>
      </c>
      <c r="B725" s="16" t="n">
        <v>45792</v>
      </c>
      <c r="C725" s="15" t="s">
        <v>74</v>
      </c>
      <c r="D725" s="15" t="s">
        <v>171</v>
      </c>
      <c r="E725" s="15" t="s">
        <v>172</v>
      </c>
      <c r="F725" s="15" t="s">
        <v>68</v>
      </c>
      <c r="G725" s="15" t="s">
        <v>77</v>
      </c>
      <c r="H725" s="15" t="s">
        <v>43</v>
      </c>
      <c r="I725" s="15" t="s">
        <v>44</v>
      </c>
      <c r="J725" s="15" t="s">
        <v>106</v>
      </c>
      <c r="K725" s="17" t="n">
        <v>346.74</v>
      </c>
      <c r="L725" s="15" t="n">
        <v>9</v>
      </c>
      <c r="M725" s="18" t="n">
        <v>0.05</v>
      </c>
      <c r="N725" s="17" t="n">
        <v>112.53</v>
      </c>
      <c r="O725" s="17" t="n">
        <f aca="false">K725*L725*(1-M725)</f>
        <v>2964.627</v>
      </c>
      <c r="P725" s="17" t="n">
        <f aca="false">N725*L725</f>
        <v>1012.77</v>
      </c>
      <c r="Q725" s="17" t="n">
        <f aca="false">O725-P725</f>
        <v>1951.857</v>
      </c>
      <c r="R725" s="15" t="s">
        <v>114</v>
      </c>
      <c r="S725" s="15" t="s">
        <v>47</v>
      </c>
    </row>
    <row r="726" customFormat="false" ht="15" hidden="false" customHeight="true" outlineLevel="0" collapsed="false">
      <c r="A726" s="11" t="s">
        <v>862</v>
      </c>
      <c r="B726" s="12" t="n">
        <v>45792</v>
      </c>
      <c r="C726" s="11" t="s">
        <v>65</v>
      </c>
      <c r="D726" s="11" t="s">
        <v>149</v>
      </c>
      <c r="E726" s="11" t="s">
        <v>150</v>
      </c>
      <c r="F726" s="11" t="s">
        <v>99</v>
      </c>
      <c r="G726" s="11" t="s">
        <v>42</v>
      </c>
      <c r="H726" s="11" t="s">
        <v>53</v>
      </c>
      <c r="I726" s="11" t="s">
        <v>54</v>
      </c>
      <c r="J726" s="11" t="s">
        <v>113</v>
      </c>
      <c r="K726" s="13" t="n">
        <v>28.01</v>
      </c>
      <c r="L726" s="11" t="n">
        <v>104</v>
      </c>
      <c r="M726" s="14" t="n">
        <v>0.05</v>
      </c>
      <c r="N726" s="13" t="n">
        <v>19.07</v>
      </c>
      <c r="O726" s="13" t="n">
        <f aca="false">K726*L726*(1-M726)</f>
        <v>2767.388</v>
      </c>
      <c r="P726" s="13" t="n">
        <f aca="false">N726*L726</f>
        <v>1983.28</v>
      </c>
      <c r="Q726" s="13" t="n">
        <f aca="false">O726-P726</f>
        <v>784.108</v>
      </c>
      <c r="R726" s="11" t="s">
        <v>63</v>
      </c>
      <c r="S726" s="11" t="s">
        <v>47</v>
      </c>
    </row>
    <row r="727" customFormat="false" ht="15" hidden="false" customHeight="true" outlineLevel="0" collapsed="false">
      <c r="A727" s="15" t="s">
        <v>863</v>
      </c>
      <c r="B727" s="16" t="n">
        <v>45793</v>
      </c>
      <c r="C727" s="15" t="s">
        <v>49</v>
      </c>
      <c r="D727" s="15" t="s">
        <v>152</v>
      </c>
      <c r="E727" s="15" t="s">
        <v>152</v>
      </c>
      <c r="F727" s="15" t="s">
        <v>118</v>
      </c>
      <c r="G727" s="15" t="s">
        <v>126</v>
      </c>
      <c r="H727" s="15" t="s">
        <v>53</v>
      </c>
      <c r="I727" s="15" t="s">
        <v>54</v>
      </c>
      <c r="J727" s="15" t="s">
        <v>55</v>
      </c>
      <c r="K727" s="17" t="n">
        <v>9.18</v>
      </c>
      <c r="L727" s="15" t="n">
        <v>136</v>
      </c>
      <c r="M727" s="18" t="n">
        <v>0</v>
      </c>
      <c r="N727" s="17" t="n">
        <v>5.72</v>
      </c>
      <c r="O727" s="17" t="n">
        <f aca="false">K727*L727*(1-M727)</f>
        <v>1248.48</v>
      </c>
      <c r="P727" s="17" t="n">
        <f aca="false">N727*L727</f>
        <v>777.92</v>
      </c>
      <c r="Q727" s="17" t="n">
        <f aca="false">O727-P727</f>
        <v>470.56</v>
      </c>
      <c r="R727" s="15" t="s">
        <v>46</v>
      </c>
      <c r="S727" s="15" t="s">
        <v>47</v>
      </c>
    </row>
    <row r="728" customFormat="false" ht="15" hidden="false" customHeight="true" outlineLevel="0" collapsed="false">
      <c r="A728" s="11" t="s">
        <v>864</v>
      </c>
      <c r="B728" s="12" t="n">
        <v>45794</v>
      </c>
      <c r="C728" s="11" t="s">
        <v>49</v>
      </c>
      <c r="D728" s="11" t="s">
        <v>97</v>
      </c>
      <c r="E728" s="11" t="s">
        <v>98</v>
      </c>
      <c r="F728" s="11" t="s">
        <v>60</v>
      </c>
      <c r="G728" s="11" t="s">
        <v>42</v>
      </c>
      <c r="H728" s="11" t="s">
        <v>53</v>
      </c>
      <c r="I728" s="11" t="s">
        <v>69</v>
      </c>
      <c r="J728" s="11" t="s">
        <v>70</v>
      </c>
      <c r="K728" s="13" t="n">
        <v>33.29</v>
      </c>
      <c r="L728" s="11" t="n">
        <v>130</v>
      </c>
      <c r="M728" s="14" t="n">
        <v>0</v>
      </c>
      <c r="N728" s="13" t="n">
        <v>20.9</v>
      </c>
      <c r="O728" s="13" t="n">
        <f aca="false">K728*L728*(1-M728)</f>
        <v>4327.7</v>
      </c>
      <c r="P728" s="13" t="n">
        <f aca="false">N728*L728</f>
        <v>2717</v>
      </c>
      <c r="Q728" s="13" t="n">
        <f aca="false">O728-P728</f>
        <v>1610.7</v>
      </c>
      <c r="R728" s="11" t="s">
        <v>63</v>
      </c>
      <c r="S728" s="11" t="s">
        <v>47</v>
      </c>
    </row>
    <row r="729" customFormat="false" ht="15" hidden="false" customHeight="true" outlineLevel="0" collapsed="false">
      <c r="A729" s="15" t="s">
        <v>865</v>
      </c>
      <c r="B729" s="16" t="n">
        <v>45794</v>
      </c>
      <c r="C729" s="15" t="s">
        <v>38</v>
      </c>
      <c r="D729" s="15" t="s">
        <v>88</v>
      </c>
      <c r="E729" s="15" t="s">
        <v>89</v>
      </c>
      <c r="F729" s="15" t="s">
        <v>41</v>
      </c>
      <c r="G729" s="15" t="s">
        <v>42</v>
      </c>
      <c r="H729" s="15" t="s">
        <v>84</v>
      </c>
      <c r="I729" s="15" t="s">
        <v>136</v>
      </c>
      <c r="J729" s="15" t="s">
        <v>247</v>
      </c>
      <c r="K729" s="17" t="n">
        <v>803.79</v>
      </c>
      <c r="L729" s="15" t="n">
        <v>14</v>
      </c>
      <c r="M729" s="18" t="n">
        <v>0.05</v>
      </c>
      <c r="N729" s="17" t="n">
        <v>622.2</v>
      </c>
      <c r="O729" s="17" t="n">
        <f aca="false">K729*L729*(1-M729)</f>
        <v>10690.407</v>
      </c>
      <c r="P729" s="17" t="n">
        <f aca="false">N729*L729</f>
        <v>8710.8</v>
      </c>
      <c r="Q729" s="17" t="n">
        <f aca="false">O729-P729</f>
        <v>1979.607</v>
      </c>
      <c r="R729" s="15" t="s">
        <v>63</v>
      </c>
      <c r="S729" s="15" t="s">
        <v>47</v>
      </c>
    </row>
    <row r="730" customFormat="false" ht="15" hidden="false" customHeight="true" outlineLevel="0" collapsed="false">
      <c r="A730" s="11" t="s">
        <v>866</v>
      </c>
      <c r="B730" s="12" t="n">
        <v>45794</v>
      </c>
      <c r="C730" s="11" t="s">
        <v>65</v>
      </c>
      <c r="D730" s="11" t="s">
        <v>82</v>
      </c>
      <c r="E730" s="11" t="s">
        <v>83</v>
      </c>
      <c r="F730" s="11" t="s">
        <v>118</v>
      </c>
      <c r="G730" s="11" t="s">
        <v>42</v>
      </c>
      <c r="H730" s="11" t="s">
        <v>78</v>
      </c>
      <c r="I730" s="11" t="s">
        <v>79</v>
      </c>
      <c r="J730" s="11" t="s">
        <v>216</v>
      </c>
      <c r="K730" s="13" t="n">
        <v>5295.34</v>
      </c>
      <c r="L730" s="11" t="n">
        <v>4</v>
      </c>
      <c r="M730" s="14" t="n">
        <v>0</v>
      </c>
      <c r="N730" s="13" t="n">
        <v>4296.29</v>
      </c>
      <c r="O730" s="13" t="n">
        <f aca="false">K730*L730*(1-M730)</f>
        <v>21181.36</v>
      </c>
      <c r="P730" s="13" t="n">
        <f aca="false">N730*L730</f>
        <v>17185.16</v>
      </c>
      <c r="Q730" s="13" t="n">
        <f aca="false">O730-P730</f>
        <v>3996.2</v>
      </c>
      <c r="R730" s="11" t="s">
        <v>167</v>
      </c>
      <c r="S730" s="11" t="s">
        <v>47</v>
      </c>
    </row>
    <row r="731" customFormat="false" ht="15" hidden="false" customHeight="true" outlineLevel="0" collapsed="false">
      <c r="A731" s="15" t="s">
        <v>867</v>
      </c>
      <c r="B731" s="16" t="n">
        <v>45794</v>
      </c>
      <c r="C731" s="15" t="s">
        <v>38</v>
      </c>
      <c r="D731" s="15" t="s">
        <v>39</v>
      </c>
      <c r="E731" s="15" t="s">
        <v>40</v>
      </c>
      <c r="F731" s="15" t="s">
        <v>109</v>
      </c>
      <c r="G731" s="15" t="s">
        <v>52</v>
      </c>
      <c r="H731" s="15" t="s">
        <v>53</v>
      </c>
      <c r="I731" s="15" t="s">
        <v>54</v>
      </c>
      <c r="J731" s="15" t="s">
        <v>113</v>
      </c>
      <c r="K731" s="17" t="n">
        <v>16.61</v>
      </c>
      <c r="L731" s="15" t="n">
        <v>153</v>
      </c>
      <c r="M731" s="18" t="n">
        <v>0.1</v>
      </c>
      <c r="N731" s="17" t="n">
        <v>10.81</v>
      </c>
      <c r="O731" s="17" t="n">
        <f aca="false">K731*L731*(1-M731)</f>
        <v>2287.197</v>
      </c>
      <c r="P731" s="17" t="n">
        <f aca="false">N731*L731</f>
        <v>1653.93</v>
      </c>
      <c r="Q731" s="17" t="n">
        <f aca="false">O731-P731</f>
        <v>633.267</v>
      </c>
      <c r="R731" s="15" t="s">
        <v>63</v>
      </c>
      <c r="S731" s="15" t="s">
        <v>47</v>
      </c>
    </row>
    <row r="732" customFormat="false" ht="15" hidden="false" customHeight="true" outlineLevel="0" collapsed="false">
      <c r="A732" s="11" t="s">
        <v>868</v>
      </c>
      <c r="B732" s="12" t="n">
        <v>45795</v>
      </c>
      <c r="C732" s="11" t="s">
        <v>49</v>
      </c>
      <c r="D732" s="11" t="s">
        <v>152</v>
      </c>
      <c r="E732" s="11" t="s">
        <v>152</v>
      </c>
      <c r="F732" s="11" t="s">
        <v>177</v>
      </c>
      <c r="G732" s="11" t="s">
        <v>42</v>
      </c>
      <c r="H732" s="11" t="s">
        <v>78</v>
      </c>
      <c r="I732" s="11" t="s">
        <v>120</v>
      </c>
      <c r="J732" s="11" t="s">
        <v>235</v>
      </c>
      <c r="K732" s="13" t="n">
        <v>69.99</v>
      </c>
      <c r="L732" s="11" t="n">
        <v>28</v>
      </c>
      <c r="M732" s="14" t="n">
        <v>0.1</v>
      </c>
      <c r="N732" s="13" t="n">
        <v>50.66</v>
      </c>
      <c r="O732" s="13" t="n">
        <f aca="false">K732*L732*(1-M732)</f>
        <v>1763.748</v>
      </c>
      <c r="P732" s="13" t="n">
        <f aca="false">N732*L732</f>
        <v>1418.48</v>
      </c>
      <c r="Q732" s="13" t="n">
        <f aca="false">O732-P732</f>
        <v>345.268</v>
      </c>
      <c r="R732" s="11" t="s">
        <v>46</v>
      </c>
      <c r="S732" s="11" t="s">
        <v>187</v>
      </c>
    </row>
    <row r="733" customFormat="false" ht="15" hidden="false" customHeight="true" outlineLevel="0" collapsed="false">
      <c r="A733" s="15" t="s">
        <v>869</v>
      </c>
      <c r="B733" s="16" t="n">
        <v>45796</v>
      </c>
      <c r="C733" s="15" t="s">
        <v>49</v>
      </c>
      <c r="D733" s="15" t="s">
        <v>97</v>
      </c>
      <c r="E733" s="15" t="s">
        <v>112</v>
      </c>
      <c r="F733" s="15" t="s">
        <v>118</v>
      </c>
      <c r="G733" s="15" t="s">
        <v>77</v>
      </c>
      <c r="H733" s="15" t="s">
        <v>78</v>
      </c>
      <c r="I733" s="15" t="s">
        <v>154</v>
      </c>
      <c r="J733" s="15" t="s">
        <v>155</v>
      </c>
      <c r="K733" s="17" t="n">
        <v>485.38</v>
      </c>
      <c r="L733" s="15" t="n">
        <v>19</v>
      </c>
      <c r="M733" s="18" t="n">
        <v>0</v>
      </c>
      <c r="N733" s="17" t="n">
        <v>401.05</v>
      </c>
      <c r="O733" s="17" t="n">
        <f aca="false">K733*L733*(1-M733)</f>
        <v>9222.22</v>
      </c>
      <c r="P733" s="17" t="n">
        <f aca="false">N733*L733</f>
        <v>7619.95</v>
      </c>
      <c r="Q733" s="17" t="n">
        <f aca="false">O733-P733</f>
        <v>1602.27</v>
      </c>
      <c r="R733" s="15" t="s">
        <v>46</v>
      </c>
      <c r="S733" s="15" t="s">
        <v>47</v>
      </c>
    </row>
    <row r="734" customFormat="false" ht="15" hidden="false" customHeight="true" outlineLevel="0" collapsed="false">
      <c r="A734" s="11" t="s">
        <v>870</v>
      </c>
      <c r="B734" s="12" t="n">
        <v>45797</v>
      </c>
      <c r="C734" s="11" t="s">
        <v>65</v>
      </c>
      <c r="D734" s="11" t="s">
        <v>82</v>
      </c>
      <c r="E734" s="11" t="s">
        <v>83</v>
      </c>
      <c r="F734" s="11" t="s">
        <v>60</v>
      </c>
      <c r="G734" s="11" t="s">
        <v>126</v>
      </c>
      <c r="H734" s="11" t="s">
        <v>53</v>
      </c>
      <c r="I734" s="11" t="s">
        <v>54</v>
      </c>
      <c r="J734" s="11" t="s">
        <v>55</v>
      </c>
      <c r="K734" s="13" t="n">
        <v>9.31</v>
      </c>
      <c r="L734" s="11" t="n">
        <v>111</v>
      </c>
      <c r="M734" s="14" t="n">
        <v>0.2</v>
      </c>
      <c r="N734" s="13" t="n">
        <v>6.34</v>
      </c>
      <c r="O734" s="13" t="n">
        <f aca="false">K734*L734*(1-M734)</f>
        <v>826.728</v>
      </c>
      <c r="P734" s="13" t="n">
        <f aca="false">N734*L734</f>
        <v>703.74</v>
      </c>
      <c r="Q734" s="13" t="n">
        <f aca="false">O734-P734</f>
        <v>122.988</v>
      </c>
      <c r="R734" s="11" t="s">
        <v>63</v>
      </c>
      <c r="S734" s="11" t="s">
        <v>47</v>
      </c>
    </row>
    <row r="735" customFormat="false" ht="15" hidden="false" customHeight="true" outlineLevel="0" collapsed="false">
      <c r="A735" s="15" t="s">
        <v>871</v>
      </c>
      <c r="B735" s="16" t="n">
        <v>45797</v>
      </c>
      <c r="C735" s="15" t="s">
        <v>49</v>
      </c>
      <c r="D735" s="15" t="s">
        <v>97</v>
      </c>
      <c r="E735" s="15" t="s">
        <v>108</v>
      </c>
      <c r="F735" s="15" t="s">
        <v>99</v>
      </c>
      <c r="G735" s="15" t="s">
        <v>42</v>
      </c>
      <c r="H735" s="15" t="s">
        <v>78</v>
      </c>
      <c r="I735" s="15" t="s">
        <v>143</v>
      </c>
      <c r="J735" s="15" t="s">
        <v>158</v>
      </c>
      <c r="K735" s="17" t="n">
        <v>893.22</v>
      </c>
      <c r="L735" s="15" t="n">
        <v>17</v>
      </c>
      <c r="M735" s="18" t="n">
        <v>0</v>
      </c>
      <c r="N735" s="17" t="n">
        <v>701.26</v>
      </c>
      <c r="O735" s="17" t="n">
        <f aca="false">K735*L735*(1-M735)</f>
        <v>15184.74</v>
      </c>
      <c r="P735" s="17" t="n">
        <f aca="false">N735*L735</f>
        <v>11921.42</v>
      </c>
      <c r="Q735" s="17" t="n">
        <f aca="false">O735-P735</f>
        <v>3263.32</v>
      </c>
      <c r="R735" s="15" t="s">
        <v>63</v>
      </c>
      <c r="S735" s="15" t="s">
        <v>47</v>
      </c>
    </row>
    <row r="736" customFormat="false" ht="15" hidden="false" customHeight="true" outlineLevel="0" collapsed="false">
      <c r="A736" s="11" t="s">
        <v>872</v>
      </c>
      <c r="B736" s="12" t="n">
        <v>45797</v>
      </c>
      <c r="C736" s="11" t="s">
        <v>49</v>
      </c>
      <c r="D736" s="11" t="s">
        <v>152</v>
      </c>
      <c r="E736" s="11" t="s">
        <v>152</v>
      </c>
      <c r="F736" s="11" t="s">
        <v>60</v>
      </c>
      <c r="G736" s="11" t="s">
        <v>126</v>
      </c>
      <c r="H736" s="11" t="s">
        <v>43</v>
      </c>
      <c r="I736" s="11" t="s">
        <v>44</v>
      </c>
      <c r="J736" s="11" t="s">
        <v>45</v>
      </c>
      <c r="K736" s="13" t="n">
        <v>307.54</v>
      </c>
      <c r="L736" s="11" t="n">
        <v>15</v>
      </c>
      <c r="M736" s="14" t="n">
        <v>0</v>
      </c>
      <c r="N736" s="13" t="n">
        <v>79.39</v>
      </c>
      <c r="O736" s="13" t="n">
        <f aca="false">K736*L736*(1-M736)</f>
        <v>4613.1</v>
      </c>
      <c r="P736" s="13" t="n">
        <f aca="false">N736*L736</f>
        <v>1190.85</v>
      </c>
      <c r="Q736" s="13" t="n">
        <f aca="false">O736-P736</f>
        <v>3422.25</v>
      </c>
      <c r="R736" s="11" t="s">
        <v>46</v>
      </c>
      <c r="S736" s="11" t="s">
        <v>47</v>
      </c>
    </row>
    <row r="737" customFormat="false" ht="15" hidden="false" customHeight="true" outlineLevel="0" collapsed="false">
      <c r="A737" s="15" t="s">
        <v>873</v>
      </c>
      <c r="B737" s="16" t="n">
        <v>45797</v>
      </c>
      <c r="C737" s="15" t="s">
        <v>38</v>
      </c>
      <c r="D737" s="15" t="s">
        <v>92</v>
      </c>
      <c r="E737" s="15" t="s">
        <v>93</v>
      </c>
      <c r="F737" s="15" t="s">
        <v>118</v>
      </c>
      <c r="G737" s="15" t="s">
        <v>77</v>
      </c>
      <c r="H737" s="15" t="s">
        <v>53</v>
      </c>
      <c r="I737" s="15" t="s">
        <v>94</v>
      </c>
      <c r="J737" s="15" t="s">
        <v>131</v>
      </c>
      <c r="K737" s="17" t="n">
        <v>41.04</v>
      </c>
      <c r="L737" s="15" t="n">
        <v>75</v>
      </c>
      <c r="M737" s="18" t="n">
        <v>0.15</v>
      </c>
      <c r="N737" s="17" t="n">
        <v>27.59</v>
      </c>
      <c r="O737" s="17" t="n">
        <f aca="false">K737*L737*(1-M737)</f>
        <v>2616.3</v>
      </c>
      <c r="P737" s="17" t="n">
        <f aca="false">N737*L737</f>
        <v>2069.25</v>
      </c>
      <c r="Q737" s="17" t="n">
        <f aca="false">O737-P737</f>
        <v>547.05</v>
      </c>
      <c r="R737" s="15" t="s">
        <v>46</v>
      </c>
      <c r="S737" s="15" t="s">
        <v>47</v>
      </c>
    </row>
    <row r="738" customFormat="false" ht="15" hidden="false" customHeight="true" outlineLevel="0" collapsed="false">
      <c r="A738" s="11" t="s">
        <v>874</v>
      </c>
      <c r="B738" s="12" t="n">
        <v>45798</v>
      </c>
      <c r="C738" s="11" t="s">
        <v>65</v>
      </c>
      <c r="D738" s="11" t="s">
        <v>116</v>
      </c>
      <c r="E738" s="11" t="s">
        <v>117</v>
      </c>
      <c r="F738" s="11" t="s">
        <v>118</v>
      </c>
      <c r="G738" s="11" t="s">
        <v>42</v>
      </c>
      <c r="H738" s="11" t="s">
        <v>53</v>
      </c>
      <c r="I738" s="11" t="s">
        <v>94</v>
      </c>
      <c r="J738" s="11" t="s">
        <v>95</v>
      </c>
      <c r="K738" s="13" t="n">
        <v>38.09</v>
      </c>
      <c r="L738" s="11" t="n">
        <v>21</v>
      </c>
      <c r="M738" s="14" t="n">
        <v>0</v>
      </c>
      <c r="N738" s="13" t="n">
        <v>24.25</v>
      </c>
      <c r="O738" s="13" t="n">
        <f aca="false">K738*L738*(1-M738)</f>
        <v>799.89</v>
      </c>
      <c r="P738" s="13" t="n">
        <f aca="false">N738*L738</f>
        <v>509.25</v>
      </c>
      <c r="Q738" s="13" t="n">
        <f aca="false">O738-P738</f>
        <v>290.64</v>
      </c>
      <c r="R738" s="11" t="s">
        <v>63</v>
      </c>
      <c r="S738" s="11" t="s">
        <v>47</v>
      </c>
    </row>
    <row r="739" customFormat="false" ht="15" hidden="false" customHeight="true" outlineLevel="0" collapsed="false">
      <c r="A739" s="15" t="s">
        <v>875</v>
      </c>
      <c r="B739" s="16" t="n">
        <v>45799</v>
      </c>
      <c r="C739" s="15" t="s">
        <v>49</v>
      </c>
      <c r="D739" s="15" t="s">
        <v>152</v>
      </c>
      <c r="E739" s="15" t="s">
        <v>152</v>
      </c>
      <c r="F739" s="15" t="s">
        <v>99</v>
      </c>
      <c r="G739" s="15" t="s">
        <v>52</v>
      </c>
      <c r="H739" s="15" t="s">
        <v>53</v>
      </c>
      <c r="I739" s="15" t="s">
        <v>54</v>
      </c>
      <c r="J739" s="15" t="s">
        <v>113</v>
      </c>
      <c r="K739" s="17" t="n">
        <v>20.65</v>
      </c>
      <c r="L739" s="15" t="n">
        <v>86</v>
      </c>
      <c r="M739" s="18" t="n">
        <v>0</v>
      </c>
      <c r="N739" s="17" t="n">
        <v>14.18</v>
      </c>
      <c r="O739" s="17" t="n">
        <f aca="false">K739*L739*(1-M739)</f>
        <v>1775.9</v>
      </c>
      <c r="P739" s="17" t="n">
        <f aca="false">N739*L739</f>
        <v>1219.48</v>
      </c>
      <c r="Q739" s="17" t="n">
        <f aca="false">O739-P739</f>
        <v>556.42</v>
      </c>
      <c r="R739" s="15" t="s">
        <v>71</v>
      </c>
      <c r="S739" s="15" t="s">
        <v>187</v>
      </c>
    </row>
    <row r="740" customFormat="false" ht="15" hidden="false" customHeight="true" outlineLevel="0" collapsed="false">
      <c r="A740" s="11" t="s">
        <v>876</v>
      </c>
      <c r="B740" s="12" t="n">
        <v>45801</v>
      </c>
      <c r="C740" s="11" t="s">
        <v>49</v>
      </c>
      <c r="D740" s="11" t="s">
        <v>152</v>
      </c>
      <c r="E740" s="11" t="s">
        <v>152</v>
      </c>
      <c r="F740" s="11" t="s">
        <v>177</v>
      </c>
      <c r="G740" s="11" t="s">
        <v>77</v>
      </c>
      <c r="H740" s="11" t="s">
        <v>53</v>
      </c>
      <c r="I740" s="11" t="s">
        <v>54</v>
      </c>
      <c r="J740" s="11" t="s">
        <v>113</v>
      </c>
      <c r="K740" s="13" t="n">
        <v>11.44</v>
      </c>
      <c r="L740" s="11" t="n">
        <v>18</v>
      </c>
      <c r="M740" s="14" t="n">
        <v>0</v>
      </c>
      <c r="N740" s="13" t="n">
        <v>7.37</v>
      </c>
      <c r="O740" s="13" t="n">
        <f aca="false">K740*L740*(1-M740)</f>
        <v>205.92</v>
      </c>
      <c r="P740" s="13" t="n">
        <f aca="false">N740*L740</f>
        <v>132.66</v>
      </c>
      <c r="Q740" s="13" t="n">
        <f aca="false">O740-P740</f>
        <v>73.26</v>
      </c>
      <c r="R740" s="11" t="s">
        <v>46</v>
      </c>
      <c r="S740" s="11" t="s">
        <v>47</v>
      </c>
    </row>
    <row r="741" customFormat="false" ht="15" hidden="false" customHeight="true" outlineLevel="0" collapsed="false">
      <c r="A741" s="15" t="s">
        <v>877</v>
      </c>
      <c r="B741" s="16" t="n">
        <v>45801</v>
      </c>
      <c r="C741" s="15" t="s">
        <v>65</v>
      </c>
      <c r="D741" s="15" t="s">
        <v>149</v>
      </c>
      <c r="E741" s="15" t="s">
        <v>150</v>
      </c>
      <c r="F741" s="15" t="s">
        <v>60</v>
      </c>
      <c r="G741" s="15" t="s">
        <v>42</v>
      </c>
      <c r="H741" s="15" t="s">
        <v>78</v>
      </c>
      <c r="I741" s="15" t="s">
        <v>79</v>
      </c>
      <c r="J741" s="15" t="s">
        <v>80</v>
      </c>
      <c r="K741" s="17" t="n">
        <v>3058.27</v>
      </c>
      <c r="L741" s="15" t="n">
        <v>13</v>
      </c>
      <c r="M741" s="18" t="n">
        <v>0.1</v>
      </c>
      <c r="N741" s="17" t="n">
        <v>2463.11</v>
      </c>
      <c r="O741" s="17" t="n">
        <f aca="false">K741*L741*(1-M741)</f>
        <v>35781.759</v>
      </c>
      <c r="P741" s="17" t="n">
        <f aca="false">N741*L741</f>
        <v>32020.43</v>
      </c>
      <c r="Q741" s="17" t="n">
        <f aca="false">O741-P741</f>
        <v>3761.32900000001</v>
      </c>
      <c r="R741" s="15" t="s">
        <v>63</v>
      </c>
      <c r="S741" s="15" t="s">
        <v>47</v>
      </c>
    </row>
    <row r="742" customFormat="false" ht="15" hidden="false" customHeight="true" outlineLevel="0" collapsed="false">
      <c r="A742" s="11" t="s">
        <v>878</v>
      </c>
      <c r="B742" s="12" t="n">
        <v>45801</v>
      </c>
      <c r="C742" s="11" t="s">
        <v>74</v>
      </c>
      <c r="D742" s="11" t="s">
        <v>75</v>
      </c>
      <c r="E742" s="11" t="s">
        <v>76</v>
      </c>
      <c r="F742" s="11" t="s">
        <v>60</v>
      </c>
      <c r="G742" s="11" t="s">
        <v>52</v>
      </c>
      <c r="H742" s="11" t="s">
        <v>78</v>
      </c>
      <c r="I742" s="11" t="s">
        <v>120</v>
      </c>
      <c r="J742" s="11" t="s">
        <v>232</v>
      </c>
      <c r="K742" s="13" t="n">
        <v>222.96</v>
      </c>
      <c r="L742" s="11" t="n">
        <v>26</v>
      </c>
      <c r="M742" s="14" t="n">
        <v>0</v>
      </c>
      <c r="N742" s="13" t="n">
        <v>177.03</v>
      </c>
      <c r="O742" s="13" t="n">
        <f aca="false">K742*L742*(1-M742)</f>
        <v>5796.96</v>
      </c>
      <c r="P742" s="13" t="n">
        <f aca="false">N742*L742</f>
        <v>4602.78</v>
      </c>
      <c r="Q742" s="13" t="n">
        <f aca="false">O742-P742</f>
        <v>1194.18</v>
      </c>
      <c r="R742" s="11" t="s">
        <v>71</v>
      </c>
      <c r="S742" s="11" t="s">
        <v>47</v>
      </c>
    </row>
    <row r="743" customFormat="false" ht="15" hidden="false" customHeight="true" outlineLevel="0" collapsed="false">
      <c r="A743" s="15" t="s">
        <v>879</v>
      </c>
      <c r="B743" s="16" t="n">
        <v>45802</v>
      </c>
      <c r="C743" s="15" t="s">
        <v>38</v>
      </c>
      <c r="D743" s="15" t="s">
        <v>39</v>
      </c>
      <c r="E743" s="15" t="s">
        <v>40</v>
      </c>
      <c r="F743" s="15" t="s">
        <v>41</v>
      </c>
      <c r="G743" s="15" t="s">
        <v>42</v>
      </c>
      <c r="H743" s="15" t="s">
        <v>43</v>
      </c>
      <c r="I743" s="15" t="s">
        <v>61</v>
      </c>
      <c r="J743" s="15" t="s">
        <v>62</v>
      </c>
      <c r="K743" s="17" t="n">
        <v>291.57</v>
      </c>
      <c r="L743" s="15" t="n">
        <v>39</v>
      </c>
      <c r="M743" s="18" t="n">
        <v>0.1</v>
      </c>
      <c r="N743" s="17" t="n">
        <v>120.58</v>
      </c>
      <c r="O743" s="17" t="n">
        <f aca="false">K743*L743*(1-M743)</f>
        <v>10234.107</v>
      </c>
      <c r="P743" s="17" t="n">
        <f aca="false">N743*L743</f>
        <v>4702.62</v>
      </c>
      <c r="Q743" s="17" t="n">
        <f aca="false">O743-P743</f>
        <v>5531.487</v>
      </c>
      <c r="R743" s="15" t="s">
        <v>46</v>
      </c>
      <c r="S743" s="15" t="s">
        <v>47</v>
      </c>
    </row>
    <row r="744" customFormat="false" ht="15" hidden="false" customHeight="true" outlineLevel="0" collapsed="false">
      <c r="A744" s="11" t="s">
        <v>880</v>
      </c>
      <c r="B744" s="12" t="n">
        <v>45802</v>
      </c>
      <c r="C744" s="11" t="s">
        <v>49</v>
      </c>
      <c r="D744" s="11" t="s">
        <v>97</v>
      </c>
      <c r="E744" s="11" t="s">
        <v>98</v>
      </c>
      <c r="F744" s="11" t="s">
        <v>51</v>
      </c>
      <c r="G744" s="11" t="s">
        <v>52</v>
      </c>
      <c r="H744" s="11" t="s">
        <v>53</v>
      </c>
      <c r="I744" s="11" t="s">
        <v>94</v>
      </c>
      <c r="J744" s="11" t="s">
        <v>95</v>
      </c>
      <c r="K744" s="13" t="n">
        <v>19.71</v>
      </c>
      <c r="L744" s="11" t="n">
        <v>95</v>
      </c>
      <c r="M744" s="14" t="n">
        <v>0.1</v>
      </c>
      <c r="N744" s="13" t="n">
        <v>11.6</v>
      </c>
      <c r="O744" s="13" t="n">
        <f aca="false">K744*L744*(1-M744)</f>
        <v>1685.205</v>
      </c>
      <c r="P744" s="13" t="n">
        <f aca="false">N744*L744</f>
        <v>1102</v>
      </c>
      <c r="Q744" s="13" t="n">
        <f aca="false">O744-P744</f>
        <v>583.205</v>
      </c>
      <c r="R744" s="11" t="s">
        <v>63</v>
      </c>
      <c r="S744" s="11" t="s">
        <v>47</v>
      </c>
    </row>
    <row r="745" customFormat="false" ht="15" hidden="false" customHeight="true" outlineLevel="0" collapsed="false">
      <c r="A745" s="15" t="s">
        <v>881</v>
      </c>
      <c r="B745" s="16" t="n">
        <v>45803</v>
      </c>
      <c r="C745" s="15" t="s">
        <v>74</v>
      </c>
      <c r="D745" s="15" t="s">
        <v>75</v>
      </c>
      <c r="E745" s="15" t="s">
        <v>76</v>
      </c>
      <c r="F745" s="15" t="s">
        <v>51</v>
      </c>
      <c r="G745" s="15" t="s">
        <v>52</v>
      </c>
      <c r="H745" s="15" t="s">
        <v>78</v>
      </c>
      <c r="I745" s="15" t="s">
        <v>154</v>
      </c>
      <c r="J745" s="15" t="s">
        <v>155</v>
      </c>
      <c r="K745" s="17" t="n">
        <v>850.95</v>
      </c>
      <c r="L745" s="15" t="n">
        <v>13</v>
      </c>
      <c r="M745" s="18" t="n">
        <v>0</v>
      </c>
      <c r="N745" s="17" t="n">
        <v>731.63</v>
      </c>
      <c r="O745" s="17" t="n">
        <f aca="false">K745*L745*(1-M745)</f>
        <v>11062.35</v>
      </c>
      <c r="P745" s="17" t="n">
        <f aca="false">N745*L745</f>
        <v>9511.19</v>
      </c>
      <c r="Q745" s="17" t="n">
        <f aca="false">O745-P745</f>
        <v>1551.16</v>
      </c>
      <c r="R745" s="15" t="s">
        <v>46</v>
      </c>
      <c r="S745" s="15" t="s">
        <v>47</v>
      </c>
    </row>
    <row r="746" customFormat="false" ht="15" hidden="false" customHeight="true" outlineLevel="0" collapsed="false">
      <c r="A746" s="11" t="s">
        <v>882</v>
      </c>
      <c r="B746" s="12" t="n">
        <v>45803</v>
      </c>
      <c r="C746" s="11" t="s">
        <v>74</v>
      </c>
      <c r="D746" s="11" t="s">
        <v>171</v>
      </c>
      <c r="E746" s="11" t="s">
        <v>172</v>
      </c>
      <c r="F746" s="11" t="s">
        <v>99</v>
      </c>
      <c r="G746" s="11" t="s">
        <v>126</v>
      </c>
      <c r="H746" s="11" t="s">
        <v>43</v>
      </c>
      <c r="I746" s="11" t="s">
        <v>44</v>
      </c>
      <c r="J746" s="11" t="s">
        <v>45</v>
      </c>
      <c r="K746" s="13" t="n">
        <v>149.56</v>
      </c>
      <c r="L746" s="11" t="n">
        <v>59</v>
      </c>
      <c r="M746" s="14" t="n">
        <v>0.1</v>
      </c>
      <c r="N746" s="13" t="n">
        <v>57.36</v>
      </c>
      <c r="O746" s="13" t="n">
        <f aca="false">K746*L746*(1-M746)</f>
        <v>7941.636</v>
      </c>
      <c r="P746" s="13" t="n">
        <f aca="false">N746*L746</f>
        <v>3384.24</v>
      </c>
      <c r="Q746" s="13" t="n">
        <f aca="false">O746-P746</f>
        <v>4557.396</v>
      </c>
      <c r="R746" s="11" t="s">
        <v>63</v>
      </c>
      <c r="S746" s="11" t="s">
        <v>47</v>
      </c>
    </row>
    <row r="747" customFormat="false" ht="15" hidden="false" customHeight="true" outlineLevel="0" collapsed="false">
      <c r="A747" s="15" t="s">
        <v>883</v>
      </c>
      <c r="B747" s="16" t="n">
        <v>45803</v>
      </c>
      <c r="C747" s="15" t="s">
        <v>65</v>
      </c>
      <c r="D747" s="15" t="s">
        <v>116</v>
      </c>
      <c r="E747" s="15" t="s">
        <v>117</v>
      </c>
      <c r="F747" s="15" t="s">
        <v>135</v>
      </c>
      <c r="G747" s="15" t="s">
        <v>77</v>
      </c>
      <c r="H747" s="15" t="s">
        <v>78</v>
      </c>
      <c r="I747" s="15" t="s">
        <v>154</v>
      </c>
      <c r="J747" s="15" t="s">
        <v>155</v>
      </c>
      <c r="K747" s="17" t="n">
        <v>643.17</v>
      </c>
      <c r="L747" s="15" t="n">
        <v>15</v>
      </c>
      <c r="M747" s="18" t="n">
        <v>0</v>
      </c>
      <c r="N747" s="17" t="n">
        <v>542.64</v>
      </c>
      <c r="O747" s="17" t="n">
        <f aca="false">K747*L747*(1-M747)</f>
        <v>9647.55</v>
      </c>
      <c r="P747" s="17" t="n">
        <f aca="false">N747*L747</f>
        <v>8139.6</v>
      </c>
      <c r="Q747" s="17" t="n">
        <f aca="false">O747-P747</f>
        <v>1507.95</v>
      </c>
      <c r="R747" s="15" t="s">
        <v>71</v>
      </c>
      <c r="S747" s="15" t="s">
        <v>47</v>
      </c>
    </row>
    <row r="748" customFormat="false" ht="15" hidden="false" customHeight="true" outlineLevel="0" collapsed="false">
      <c r="A748" s="11" t="s">
        <v>884</v>
      </c>
      <c r="B748" s="12" t="n">
        <v>45805</v>
      </c>
      <c r="C748" s="11" t="s">
        <v>49</v>
      </c>
      <c r="D748" s="11" t="s">
        <v>152</v>
      </c>
      <c r="E748" s="11" t="s">
        <v>152</v>
      </c>
      <c r="F748" s="11" t="s">
        <v>60</v>
      </c>
      <c r="G748" s="11" t="s">
        <v>52</v>
      </c>
      <c r="H748" s="11" t="s">
        <v>53</v>
      </c>
      <c r="I748" s="11" t="s">
        <v>69</v>
      </c>
      <c r="J748" s="11" t="s">
        <v>128</v>
      </c>
      <c r="K748" s="13" t="n">
        <v>16.79</v>
      </c>
      <c r="L748" s="11" t="n">
        <v>10</v>
      </c>
      <c r="M748" s="14" t="n">
        <v>0.05</v>
      </c>
      <c r="N748" s="13" t="n">
        <v>12.19</v>
      </c>
      <c r="O748" s="13" t="n">
        <f aca="false">K748*L748*(1-M748)</f>
        <v>159.505</v>
      </c>
      <c r="P748" s="13" t="n">
        <f aca="false">N748*L748</f>
        <v>121.9</v>
      </c>
      <c r="Q748" s="13" t="n">
        <f aca="false">O748-P748</f>
        <v>37.605</v>
      </c>
      <c r="R748" s="11" t="s">
        <v>46</v>
      </c>
      <c r="S748" s="11" t="s">
        <v>47</v>
      </c>
    </row>
    <row r="749" customFormat="false" ht="15" hidden="false" customHeight="true" outlineLevel="0" collapsed="false">
      <c r="A749" s="15" t="s">
        <v>885</v>
      </c>
      <c r="B749" s="16" t="n">
        <v>45807</v>
      </c>
      <c r="C749" s="15" t="s">
        <v>49</v>
      </c>
      <c r="D749" s="15" t="s">
        <v>97</v>
      </c>
      <c r="E749" s="15" t="s">
        <v>108</v>
      </c>
      <c r="F749" s="15" t="s">
        <v>41</v>
      </c>
      <c r="G749" s="15" t="s">
        <v>130</v>
      </c>
      <c r="H749" s="15" t="s">
        <v>53</v>
      </c>
      <c r="I749" s="15" t="s">
        <v>54</v>
      </c>
      <c r="J749" s="15" t="s">
        <v>113</v>
      </c>
      <c r="K749" s="17" t="n">
        <v>18.67</v>
      </c>
      <c r="L749" s="15" t="n">
        <v>42</v>
      </c>
      <c r="M749" s="18" t="n">
        <v>0</v>
      </c>
      <c r="N749" s="17" t="n">
        <v>13.18</v>
      </c>
      <c r="O749" s="17" t="n">
        <f aca="false">K749*L749*(1-M749)</f>
        <v>784.14</v>
      </c>
      <c r="P749" s="17" t="n">
        <f aca="false">N749*L749</f>
        <v>553.56</v>
      </c>
      <c r="Q749" s="17" t="n">
        <f aca="false">O749-P749</f>
        <v>230.58</v>
      </c>
      <c r="R749" s="15" t="s">
        <v>46</v>
      </c>
      <c r="S749" s="15" t="s">
        <v>47</v>
      </c>
    </row>
    <row r="750" customFormat="false" ht="15" hidden="false" customHeight="true" outlineLevel="0" collapsed="false">
      <c r="A750" s="11" t="s">
        <v>886</v>
      </c>
      <c r="B750" s="12" t="n">
        <v>45807</v>
      </c>
      <c r="C750" s="11" t="s">
        <v>49</v>
      </c>
      <c r="D750" s="11" t="s">
        <v>152</v>
      </c>
      <c r="E750" s="11" t="s">
        <v>152</v>
      </c>
      <c r="F750" s="11" t="s">
        <v>51</v>
      </c>
      <c r="G750" s="11" t="s">
        <v>52</v>
      </c>
      <c r="H750" s="11" t="s">
        <v>84</v>
      </c>
      <c r="I750" s="11" t="s">
        <v>100</v>
      </c>
      <c r="J750" s="11" t="s">
        <v>101</v>
      </c>
      <c r="K750" s="13" t="n">
        <v>1349.78</v>
      </c>
      <c r="L750" s="11" t="n">
        <v>6</v>
      </c>
      <c r="M750" s="14" t="n">
        <v>0</v>
      </c>
      <c r="N750" s="13" t="n">
        <v>1014.37</v>
      </c>
      <c r="O750" s="13" t="n">
        <f aca="false">K750*L750*(1-M750)</f>
        <v>8098.68</v>
      </c>
      <c r="P750" s="13" t="n">
        <f aca="false">N750*L750</f>
        <v>6086.22</v>
      </c>
      <c r="Q750" s="13" t="n">
        <f aca="false">O750-P750</f>
        <v>2012.46</v>
      </c>
      <c r="R750" s="11" t="s">
        <v>167</v>
      </c>
      <c r="S750" s="11" t="s">
        <v>72</v>
      </c>
    </row>
    <row r="751" customFormat="false" ht="15" hidden="false" customHeight="true" outlineLevel="0" collapsed="false">
      <c r="A751" s="15" t="s">
        <v>887</v>
      </c>
      <c r="B751" s="16" t="n">
        <v>45808</v>
      </c>
      <c r="C751" s="15" t="s">
        <v>65</v>
      </c>
      <c r="D751" s="15" t="s">
        <v>66</v>
      </c>
      <c r="E751" s="15" t="s">
        <v>67</v>
      </c>
      <c r="F751" s="15" t="s">
        <v>68</v>
      </c>
      <c r="G751" s="15" t="s">
        <v>42</v>
      </c>
      <c r="H751" s="15" t="s">
        <v>78</v>
      </c>
      <c r="I751" s="15" t="s">
        <v>79</v>
      </c>
      <c r="J751" s="15" t="s">
        <v>216</v>
      </c>
      <c r="K751" s="17" t="n">
        <v>5049</v>
      </c>
      <c r="L751" s="15" t="n">
        <v>4</v>
      </c>
      <c r="M751" s="18" t="n">
        <v>0</v>
      </c>
      <c r="N751" s="17" t="n">
        <v>4158.68</v>
      </c>
      <c r="O751" s="17" t="n">
        <f aca="false">K751*L751*(1-M751)</f>
        <v>20196</v>
      </c>
      <c r="P751" s="17" t="n">
        <f aca="false">N751*L751</f>
        <v>16634.72</v>
      </c>
      <c r="Q751" s="17" t="n">
        <f aca="false">O751-P751</f>
        <v>3561.28</v>
      </c>
      <c r="R751" s="15" t="s">
        <v>114</v>
      </c>
      <c r="S751" s="15" t="s">
        <v>47</v>
      </c>
    </row>
    <row r="752" customFormat="false" ht="15" hidden="false" customHeight="true" outlineLevel="0" collapsed="false">
      <c r="A752" s="11" t="s">
        <v>888</v>
      </c>
      <c r="B752" s="12" t="n">
        <v>45808</v>
      </c>
      <c r="C752" s="11" t="s">
        <v>38</v>
      </c>
      <c r="D752" s="11" t="s">
        <v>88</v>
      </c>
      <c r="E752" s="11" t="s">
        <v>89</v>
      </c>
      <c r="F752" s="11" t="s">
        <v>60</v>
      </c>
      <c r="G752" s="11" t="s">
        <v>52</v>
      </c>
      <c r="H752" s="11" t="s">
        <v>84</v>
      </c>
      <c r="I752" s="11" t="s">
        <v>136</v>
      </c>
      <c r="J752" s="11" t="s">
        <v>137</v>
      </c>
      <c r="K752" s="13" t="n">
        <v>272.94</v>
      </c>
      <c r="L752" s="11" t="n">
        <v>27</v>
      </c>
      <c r="M752" s="14" t="n">
        <v>0</v>
      </c>
      <c r="N752" s="13" t="n">
        <v>192.31</v>
      </c>
      <c r="O752" s="13" t="n">
        <f aca="false">K752*L752*(1-M752)</f>
        <v>7369.38</v>
      </c>
      <c r="P752" s="13" t="n">
        <f aca="false">N752*L752</f>
        <v>5192.37</v>
      </c>
      <c r="Q752" s="13" t="n">
        <f aca="false">O752-P752</f>
        <v>2177.01</v>
      </c>
      <c r="R752" s="11" t="s">
        <v>114</v>
      </c>
      <c r="S752" s="11" t="s">
        <v>47</v>
      </c>
    </row>
    <row r="753" customFormat="false" ht="15" hidden="false" customHeight="true" outlineLevel="0" collapsed="false">
      <c r="A753" s="15" t="s">
        <v>889</v>
      </c>
      <c r="B753" s="16" t="n">
        <v>45808</v>
      </c>
      <c r="C753" s="15" t="s">
        <v>65</v>
      </c>
      <c r="D753" s="15" t="s">
        <v>149</v>
      </c>
      <c r="E753" s="15" t="s">
        <v>150</v>
      </c>
      <c r="F753" s="15" t="s">
        <v>41</v>
      </c>
      <c r="G753" s="15" t="s">
        <v>126</v>
      </c>
      <c r="H753" s="15" t="s">
        <v>43</v>
      </c>
      <c r="I753" s="15" t="s">
        <v>61</v>
      </c>
      <c r="J753" s="15" t="s">
        <v>147</v>
      </c>
      <c r="K753" s="17" t="n">
        <v>395.14</v>
      </c>
      <c r="L753" s="15" t="n">
        <v>8</v>
      </c>
      <c r="M753" s="18" t="n">
        <v>0.05</v>
      </c>
      <c r="N753" s="17" t="n">
        <v>152.72</v>
      </c>
      <c r="O753" s="17" t="n">
        <f aca="false">K753*L753*(1-M753)</f>
        <v>3003.064</v>
      </c>
      <c r="P753" s="17" t="n">
        <f aca="false">N753*L753</f>
        <v>1221.76</v>
      </c>
      <c r="Q753" s="17" t="n">
        <f aca="false">O753-P753</f>
        <v>1781.304</v>
      </c>
      <c r="R753" s="15" t="s">
        <v>46</v>
      </c>
      <c r="S753" s="15" t="s">
        <v>47</v>
      </c>
    </row>
    <row r="754" customFormat="false" ht="15" hidden="false" customHeight="true" outlineLevel="0" collapsed="false">
      <c r="A754" s="11" t="s">
        <v>890</v>
      </c>
      <c r="B754" s="12" t="n">
        <v>45809</v>
      </c>
      <c r="C754" s="11" t="s">
        <v>38</v>
      </c>
      <c r="D754" s="11" t="s">
        <v>92</v>
      </c>
      <c r="E754" s="11" t="s">
        <v>93</v>
      </c>
      <c r="F754" s="11" t="s">
        <v>51</v>
      </c>
      <c r="G754" s="11" t="s">
        <v>77</v>
      </c>
      <c r="H754" s="11" t="s">
        <v>78</v>
      </c>
      <c r="I754" s="11" t="s">
        <v>154</v>
      </c>
      <c r="J754" s="11" t="s">
        <v>186</v>
      </c>
      <c r="K754" s="13" t="n">
        <v>1013.83</v>
      </c>
      <c r="L754" s="11" t="n">
        <v>20</v>
      </c>
      <c r="M754" s="14" t="n">
        <v>0</v>
      </c>
      <c r="N754" s="13" t="n">
        <v>838.78</v>
      </c>
      <c r="O754" s="13" t="n">
        <f aca="false">K754*L754*(1-M754)</f>
        <v>20276.6</v>
      </c>
      <c r="P754" s="13" t="n">
        <f aca="false">N754*L754</f>
        <v>16775.6</v>
      </c>
      <c r="Q754" s="13" t="n">
        <f aca="false">O754-P754</f>
        <v>3501</v>
      </c>
      <c r="R754" s="11" t="s">
        <v>46</v>
      </c>
      <c r="S754" s="11" t="s">
        <v>47</v>
      </c>
    </row>
    <row r="755" customFormat="false" ht="15" hidden="false" customHeight="true" outlineLevel="0" collapsed="false">
      <c r="A755" s="15" t="s">
        <v>891</v>
      </c>
      <c r="B755" s="16" t="n">
        <v>45810</v>
      </c>
      <c r="C755" s="15" t="s">
        <v>38</v>
      </c>
      <c r="D755" s="15" t="s">
        <v>88</v>
      </c>
      <c r="E755" s="15" t="s">
        <v>89</v>
      </c>
      <c r="F755" s="15" t="s">
        <v>118</v>
      </c>
      <c r="G755" s="15" t="s">
        <v>52</v>
      </c>
      <c r="H755" s="15" t="s">
        <v>78</v>
      </c>
      <c r="I755" s="15" t="s">
        <v>143</v>
      </c>
      <c r="J755" s="15" t="s">
        <v>158</v>
      </c>
      <c r="K755" s="17" t="n">
        <v>702.33</v>
      </c>
      <c r="L755" s="15" t="n">
        <v>15</v>
      </c>
      <c r="M755" s="18" t="n">
        <v>0</v>
      </c>
      <c r="N755" s="17" t="n">
        <v>568.07</v>
      </c>
      <c r="O755" s="17" t="n">
        <f aca="false">K755*L755*(1-M755)</f>
        <v>10534.95</v>
      </c>
      <c r="P755" s="17" t="n">
        <f aca="false">N755*L755</f>
        <v>8521.05</v>
      </c>
      <c r="Q755" s="17" t="n">
        <f aca="false">O755-P755</f>
        <v>2013.9</v>
      </c>
      <c r="R755" s="15" t="s">
        <v>46</v>
      </c>
      <c r="S755" s="15" t="s">
        <v>47</v>
      </c>
    </row>
    <row r="756" customFormat="false" ht="15" hidden="false" customHeight="true" outlineLevel="0" collapsed="false">
      <c r="A756" s="11" t="s">
        <v>892</v>
      </c>
      <c r="B756" s="12" t="n">
        <v>45810</v>
      </c>
      <c r="C756" s="11" t="s">
        <v>74</v>
      </c>
      <c r="D756" s="11" t="s">
        <v>171</v>
      </c>
      <c r="E756" s="11" t="s">
        <v>172</v>
      </c>
      <c r="F756" s="11" t="s">
        <v>109</v>
      </c>
      <c r="G756" s="11" t="s">
        <v>130</v>
      </c>
      <c r="H756" s="11" t="s">
        <v>84</v>
      </c>
      <c r="I756" s="11" t="s">
        <v>136</v>
      </c>
      <c r="J756" s="11" t="s">
        <v>137</v>
      </c>
      <c r="K756" s="13" t="n">
        <v>191.08</v>
      </c>
      <c r="L756" s="11" t="n">
        <v>35</v>
      </c>
      <c r="M756" s="14" t="n">
        <v>0.15</v>
      </c>
      <c r="N756" s="13" t="n">
        <v>139.36</v>
      </c>
      <c r="O756" s="13" t="n">
        <f aca="false">K756*L756*(1-M756)</f>
        <v>5684.63</v>
      </c>
      <c r="P756" s="13" t="n">
        <f aca="false">N756*L756</f>
        <v>4877.6</v>
      </c>
      <c r="Q756" s="13" t="n">
        <f aca="false">O756-P756</f>
        <v>807.03</v>
      </c>
      <c r="R756" s="11" t="s">
        <v>63</v>
      </c>
      <c r="S756" s="11" t="s">
        <v>47</v>
      </c>
    </row>
    <row r="757" customFormat="false" ht="15" hidden="false" customHeight="true" outlineLevel="0" collapsed="false">
      <c r="A757" s="15" t="s">
        <v>893</v>
      </c>
      <c r="B757" s="16" t="n">
        <v>45810</v>
      </c>
      <c r="C757" s="15" t="s">
        <v>74</v>
      </c>
      <c r="D757" s="15" t="s">
        <v>171</v>
      </c>
      <c r="E757" s="15" t="s">
        <v>172</v>
      </c>
      <c r="F757" s="15" t="s">
        <v>177</v>
      </c>
      <c r="G757" s="15" t="s">
        <v>52</v>
      </c>
      <c r="H757" s="15" t="s">
        <v>78</v>
      </c>
      <c r="I757" s="15" t="s">
        <v>143</v>
      </c>
      <c r="J757" s="15" t="s">
        <v>144</v>
      </c>
      <c r="K757" s="17" t="n">
        <v>1116.9</v>
      </c>
      <c r="L757" s="15" t="n">
        <v>13</v>
      </c>
      <c r="M757" s="18" t="n">
        <v>0</v>
      </c>
      <c r="N757" s="17" t="n">
        <v>925.95</v>
      </c>
      <c r="O757" s="17" t="n">
        <f aca="false">K757*L757*(1-M757)</f>
        <v>14519.7</v>
      </c>
      <c r="P757" s="17" t="n">
        <f aca="false">N757*L757</f>
        <v>12037.35</v>
      </c>
      <c r="Q757" s="17" t="n">
        <f aca="false">O757-P757</f>
        <v>2482.35</v>
      </c>
      <c r="R757" s="15" t="s">
        <v>46</v>
      </c>
      <c r="S757" s="15" t="s">
        <v>47</v>
      </c>
    </row>
    <row r="758" customFormat="false" ht="15" hidden="false" customHeight="true" outlineLevel="0" collapsed="false">
      <c r="A758" s="11" t="s">
        <v>894</v>
      </c>
      <c r="B758" s="12" t="n">
        <v>45811</v>
      </c>
      <c r="C758" s="11" t="s">
        <v>49</v>
      </c>
      <c r="D758" s="11" t="s">
        <v>97</v>
      </c>
      <c r="E758" s="11" t="s">
        <v>112</v>
      </c>
      <c r="F758" s="11" t="s">
        <v>177</v>
      </c>
      <c r="G758" s="11" t="s">
        <v>130</v>
      </c>
      <c r="H758" s="11" t="s">
        <v>43</v>
      </c>
      <c r="I758" s="11" t="s">
        <v>44</v>
      </c>
      <c r="J758" s="11" t="s">
        <v>45</v>
      </c>
      <c r="K758" s="13" t="n">
        <v>217.72</v>
      </c>
      <c r="L758" s="11" t="n">
        <v>16</v>
      </c>
      <c r="M758" s="14" t="n">
        <v>0.15</v>
      </c>
      <c r="N758" s="13" t="n">
        <v>86.95</v>
      </c>
      <c r="O758" s="13" t="n">
        <f aca="false">K758*L758*(1-M758)</f>
        <v>2960.992</v>
      </c>
      <c r="P758" s="13" t="n">
        <f aca="false">N758*L758</f>
        <v>1391.2</v>
      </c>
      <c r="Q758" s="13" t="n">
        <f aca="false">O758-P758</f>
        <v>1569.792</v>
      </c>
      <c r="R758" s="11" t="s">
        <v>167</v>
      </c>
      <c r="S758" s="11" t="s">
        <v>47</v>
      </c>
    </row>
    <row r="759" customFormat="false" ht="15" hidden="false" customHeight="true" outlineLevel="0" collapsed="false">
      <c r="A759" s="15" t="s">
        <v>895</v>
      </c>
      <c r="B759" s="16" t="n">
        <v>45811</v>
      </c>
      <c r="C759" s="15" t="s">
        <v>38</v>
      </c>
      <c r="D759" s="15" t="s">
        <v>92</v>
      </c>
      <c r="E759" s="15" t="s">
        <v>93</v>
      </c>
      <c r="F759" s="15" t="s">
        <v>41</v>
      </c>
      <c r="G759" s="15" t="s">
        <v>130</v>
      </c>
      <c r="H759" s="15" t="s">
        <v>84</v>
      </c>
      <c r="I759" s="15" t="s">
        <v>85</v>
      </c>
      <c r="J759" s="15" t="s">
        <v>90</v>
      </c>
      <c r="K759" s="17" t="n">
        <v>723.8</v>
      </c>
      <c r="L759" s="15" t="n">
        <v>15</v>
      </c>
      <c r="M759" s="18" t="n">
        <v>0</v>
      </c>
      <c r="N759" s="17" t="n">
        <v>514.79</v>
      </c>
      <c r="O759" s="17" t="n">
        <f aca="false">K759*L759*(1-M759)</f>
        <v>10857</v>
      </c>
      <c r="P759" s="17" t="n">
        <f aca="false">N759*L759</f>
        <v>7721.85</v>
      </c>
      <c r="Q759" s="17" t="n">
        <f aca="false">O759-P759</f>
        <v>3135.15</v>
      </c>
      <c r="R759" s="15" t="s">
        <v>63</v>
      </c>
      <c r="S759" s="15" t="s">
        <v>47</v>
      </c>
    </row>
    <row r="760" customFormat="false" ht="15" hidden="false" customHeight="true" outlineLevel="0" collapsed="false">
      <c r="A760" s="11" t="s">
        <v>896</v>
      </c>
      <c r="B760" s="12" t="n">
        <v>45812</v>
      </c>
      <c r="C760" s="11" t="s">
        <v>49</v>
      </c>
      <c r="D760" s="11" t="s">
        <v>50</v>
      </c>
      <c r="E760" s="11" t="s">
        <v>50</v>
      </c>
      <c r="F760" s="11" t="s">
        <v>68</v>
      </c>
      <c r="G760" s="11" t="s">
        <v>77</v>
      </c>
      <c r="H760" s="11" t="s">
        <v>78</v>
      </c>
      <c r="I760" s="11" t="s">
        <v>79</v>
      </c>
      <c r="J760" s="11" t="s">
        <v>216</v>
      </c>
      <c r="K760" s="13" t="n">
        <v>3689.4</v>
      </c>
      <c r="L760" s="11" t="n">
        <v>10</v>
      </c>
      <c r="M760" s="14" t="n">
        <v>0</v>
      </c>
      <c r="N760" s="13" t="n">
        <v>2975.72</v>
      </c>
      <c r="O760" s="13" t="n">
        <f aca="false">K760*L760*(1-M760)</f>
        <v>36894</v>
      </c>
      <c r="P760" s="13" t="n">
        <f aca="false">N760*L760</f>
        <v>29757.2</v>
      </c>
      <c r="Q760" s="13" t="n">
        <f aca="false">O760-P760</f>
        <v>7136.8</v>
      </c>
      <c r="R760" s="11" t="s">
        <v>114</v>
      </c>
      <c r="S760" s="11" t="s">
        <v>47</v>
      </c>
    </row>
    <row r="761" customFormat="false" ht="15" hidden="false" customHeight="true" outlineLevel="0" collapsed="false">
      <c r="A761" s="15" t="s">
        <v>897</v>
      </c>
      <c r="B761" s="16" t="n">
        <v>45812</v>
      </c>
      <c r="C761" s="15" t="s">
        <v>65</v>
      </c>
      <c r="D761" s="15" t="s">
        <v>149</v>
      </c>
      <c r="E761" s="15" t="s">
        <v>150</v>
      </c>
      <c r="F761" s="15" t="s">
        <v>135</v>
      </c>
      <c r="G761" s="15" t="s">
        <v>42</v>
      </c>
      <c r="H761" s="15" t="s">
        <v>78</v>
      </c>
      <c r="I761" s="15" t="s">
        <v>79</v>
      </c>
      <c r="J761" s="15" t="s">
        <v>80</v>
      </c>
      <c r="K761" s="17" t="n">
        <v>3165.6</v>
      </c>
      <c r="L761" s="15" t="n">
        <v>9</v>
      </c>
      <c r="M761" s="18" t="n">
        <v>0</v>
      </c>
      <c r="N761" s="17" t="n">
        <v>2577.64</v>
      </c>
      <c r="O761" s="17" t="n">
        <f aca="false">K761*L761*(1-M761)</f>
        <v>28490.4</v>
      </c>
      <c r="P761" s="17" t="n">
        <f aca="false">N761*L761</f>
        <v>23198.76</v>
      </c>
      <c r="Q761" s="17" t="n">
        <f aca="false">O761-P761</f>
        <v>5291.64</v>
      </c>
      <c r="R761" s="15" t="s">
        <v>63</v>
      </c>
      <c r="S761" s="15" t="s">
        <v>72</v>
      </c>
    </row>
    <row r="762" customFormat="false" ht="15" hidden="false" customHeight="true" outlineLevel="0" collapsed="false">
      <c r="A762" s="11" t="s">
        <v>898</v>
      </c>
      <c r="B762" s="12" t="n">
        <v>45813</v>
      </c>
      <c r="C762" s="11" t="s">
        <v>38</v>
      </c>
      <c r="D762" s="11" t="s">
        <v>92</v>
      </c>
      <c r="E762" s="11" t="s">
        <v>93</v>
      </c>
      <c r="F762" s="11" t="s">
        <v>109</v>
      </c>
      <c r="G762" s="11" t="s">
        <v>126</v>
      </c>
      <c r="H762" s="11" t="s">
        <v>78</v>
      </c>
      <c r="I762" s="11" t="s">
        <v>154</v>
      </c>
      <c r="J762" s="11" t="s">
        <v>155</v>
      </c>
      <c r="K762" s="13" t="n">
        <v>521.06</v>
      </c>
      <c r="L762" s="11" t="n">
        <v>15</v>
      </c>
      <c r="M762" s="14" t="n">
        <v>0</v>
      </c>
      <c r="N762" s="13" t="n">
        <v>412.9</v>
      </c>
      <c r="O762" s="13" t="n">
        <f aca="false">K762*L762*(1-M762)</f>
        <v>7815.9</v>
      </c>
      <c r="P762" s="13" t="n">
        <f aca="false">N762*L762</f>
        <v>6193.5</v>
      </c>
      <c r="Q762" s="13" t="n">
        <f aca="false">O762-P762</f>
        <v>1622.4</v>
      </c>
      <c r="R762" s="11" t="s">
        <v>46</v>
      </c>
      <c r="S762" s="11" t="s">
        <v>47</v>
      </c>
    </row>
    <row r="763" customFormat="false" ht="15" hidden="false" customHeight="true" outlineLevel="0" collapsed="false">
      <c r="A763" s="15" t="s">
        <v>899</v>
      </c>
      <c r="B763" s="16" t="n">
        <v>45815</v>
      </c>
      <c r="C763" s="15" t="s">
        <v>65</v>
      </c>
      <c r="D763" s="15" t="s">
        <v>66</v>
      </c>
      <c r="E763" s="15" t="s">
        <v>67</v>
      </c>
      <c r="F763" s="15" t="s">
        <v>109</v>
      </c>
      <c r="G763" s="15" t="s">
        <v>52</v>
      </c>
      <c r="H763" s="15" t="s">
        <v>53</v>
      </c>
      <c r="I763" s="15" t="s">
        <v>54</v>
      </c>
      <c r="J763" s="15" t="s">
        <v>55</v>
      </c>
      <c r="K763" s="17" t="n">
        <v>19.1</v>
      </c>
      <c r="L763" s="15" t="n">
        <v>135</v>
      </c>
      <c r="M763" s="18" t="n">
        <v>0</v>
      </c>
      <c r="N763" s="17" t="n">
        <v>11.58</v>
      </c>
      <c r="O763" s="17" t="n">
        <f aca="false">K763*L763*(1-M763)</f>
        <v>2578.5</v>
      </c>
      <c r="P763" s="17" t="n">
        <f aca="false">N763*L763</f>
        <v>1563.3</v>
      </c>
      <c r="Q763" s="17" t="n">
        <f aca="false">O763-P763</f>
        <v>1015.2</v>
      </c>
      <c r="R763" s="15" t="s">
        <v>167</v>
      </c>
      <c r="S763" s="15" t="s">
        <v>47</v>
      </c>
    </row>
    <row r="764" customFormat="false" ht="15" hidden="false" customHeight="true" outlineLevel="0" collapsed="false">
      <c r="A764" s="11" t="s">
        <v>900</v>
      </c>
      <c r="B764" s="12" t="n">
        <v>45815</v>
      </c>
      <c r="C764" s="11" t="s">
        <v>65</v>
      </c>
      <c r="D764" s="11" t="s">
        <v>66</v>
      </c>
      <c r="E764" s="11" t="s">
        <v>67</v>
      </c>
      <c r="F764" s="11" t="s">
        <v>60</v>
      </c>
      <c r="G764" s="11" t="s">
        <v>52</v>
      </c>
      <c r="H764" s="11" t="s">
        <v>84</v>
      </c>
      <c r="I764" s="11" t="s">
        <v>85</v>
      </c>
      <c r="J764" s="11" t="s">
        <v>86</v>
      </c>
      <c r="K764" s="13" t="n">
        <v>399.59</v>
      </c>
      <c r="L764" s="11" t="n">
        <v>9</v>
      </c>
      <c r="M764" s="14" t="n">
        <v>0</v>
      </c>
      <c r="N764" s="13" t="n">
        <v>307.59</v>
      </c>
      <c r="O764" s="13" t="n">
        <f aca="false">K764*L764*(1-M764)</f>
        <v>3596.31</v>
      </c>
      <c r="P764" s="13" t="n">
        <f aca="false">N764*L764</f>
        <v>2768.31</v>
      </c>
      <c r="Q764" s="13" t="n">
        <f aca="false">O764-P764</f>
        <v>828</v>
      </c>
      <c r="R764" s="11" t="s">
        <v>46</v>
      </c>
      <c r="S764" s="11" t="s">
        <v>47</v>
      </c>
    </row>
    <row r="765" customFormat="false" ht="15" hidden="false" customHeight="true" outlineLevel="0" collapsed="false">
      <c r="A765" s="15" t="s">
        <v>901</v>
      </c>
      <c r="B765" s="16" t="n">
        <v>45816</v>
      </c>
      <c r="C765" s="15" t="s">
        <v>49</v>
      </c>
      <c r="D765" s="15" t="s">
        <v>97</v>
      </c>
      <c r="E765" s="15" t="s">
        <v>98</v>
      </c>
      <c r="F765" s="15" t="s">
        <v>51</v>
      </c>
      <c r="G765" s="15" t="s">
        <v>77</v>
      </c>
      <c r="H765" s="15" t="s">
        <v>78</v>
      </c>
      <c r="I765" s="15" t="s">
        <v>120</v>
      </c>
      <c r="J765" s="15" t="s">
        <v>232</v>
      </c>
      <c r="K765" s="17" t="n">
        <v>187.1</v>
      </c>
      <c r="L765" s="15" t="n">
        <v>23</v>
      </c>
      <c r="M765" s="18" t="n">
        <v>0</v>
      </c>
      <c r="N765" s="17" t="n">
        <v>139.08</v>
      </c>
      <c r="O765" s="17" t="n">
        <f aca="false">K765*L765*(1-M765)</f>
        <v>4303.3</v>
      </c>
      <c r="P765" s="17" t="n">
        <f aca="false">N765*L765</f>
        <v>3198.84</v>
      </c>
      <c r="Q765" s="17" t="n">
        <f aca="false">O765-P765</f>
        <v>1104.46</v>
      </c>
      <c r="R765" s="15" t="s">
        <v>114</v>
      </c>
      <c r="S765" s="15" t="s">
        <v>124</v>
      </c>
    </row>
    <row r="766" customFormat="false" ht="15" hidden="false" customHeight="true" outlineLevel="0" collapsed="false">
      <c r="A766" s="11" t="s">
        <v>902</v>
      </c>
      <c r="B766" s="12" t="n">
        <v>45816</v>
      </c>
      <c r="C766" s="11" t="s">
        <v>49</v>
      </c>
      <c r="D766" s="11" t="s">
        <v>97</v>
      </c>
      <c r="E766" s="11" t="s">
        <v>108</v>
      </c>
      <c r="F766" s="11" t="s">
        <v>60</v>
      </c>
      <c r="G766" s="11" t="s">
        <v>77</v>
      </c>
      <c r="H766" s="11" t="s">
        <v>78</v>
      </c>
      <c r="I766" s="11" t="s">
        <v>143</v>
      </c>
      <c r="J766" s="11" t="s">
        <v>144</v>
      </c>
      <c r="K766" s="13" t="n">
        <v>1507.38</v>
      </c>
      <c r="L766" s="11" t="n">
        <v>9</v>
      </c>
      <c r="M766" s="14" t="n">
        <v>0.1</v>
      </c>
      <c r="N766" s="13" t="n">
        <v>1186.13</v>
      </c>
      <c r="O766" s="13" t="n">
        <f aca="false">K766*L766*(1-M766)</f>
        <v>12209.778</v>
      </c>
      <c r="P766" s="13" t="n">
        <f aca="false">N766*L766</f>
        <v>10675.17</v>
      </c>
      <c r="Q766" s="13" t="n">
        <f aca="false">O766-P766</f>
        <v>1534.608</v>
      </c>
      <c r="R766" s="11" t="s">
        <v>46</v>
      </c>
      <c r="S766" s="11" t="s">
        <v>47</v>
      </c>
    </row>
    <row r="767" customFormat="false" ht="15" hidden="false" customHeight="true" outlineLevel="0" collapsed="false">
      <c r="A767" s="15" t="s">
        <v>903</v>
      </c>
      <c r="B767" s="16" t="n">
        <v>45817</v>
      </c>
      <c r="C767" s="15" t="s">
        <v>49</v>
      </c>
      <c r="D767" s="15" t="s">
        <v>97</v>
      </c>
      <c r="E767" s="15" t="s">
        <v>112</v>
      </c>
      <c r="F767" s="15" t="s">
        <v>60</v>
      </c>
      <c r="G767" s="15" t="s">
        <v>42</v>
      </c>
      <c r="H767" s="15" t="s">
        <v>84</v>
      </c>
      <c r="I767" s="15" t="s">
        <v>85</v>
      </c>
      <c r="J767" s="15" t="s">
        <v>86</v>
      </c>
      <c r="K767" s="17" t="n">
        <v>610.24</v>
      </c>
      <c r="L767" s="15" t="n">
        <v>4</v>
      </c>
      <c r="M767" s="18" t="n">
        <v>0.05</v>
      </c>
      <c r="N767" s="17" t="n">
        <v>452.1</v>
      </c>
      <c r="O767" s="17" t="n">
        <f aca="false">K767*L767*(1-M767)</f>
        <v>2318.912</v>
      </c>
      <c r="P767" s="17" t="n">
        <f aca="false">N767*L767</f>
        <v>1808.4</v>
      </c>
      <c r="Q767" s="17" t="n">
        <f aca="false">O767-P767</f>
        <v>510.512</v>
      </c>
      <c r="R767" s="15" t="s">
        <v>46</v>
      </c>
      <c r="S767" s="15" t="s">
        <v>47</v>
      </c>
    </row>
    <row r="768" customFormat="false" ht="15" hidden="false" customHeight="true" outlineLevel="0" collapsed="false">
      <c r="A768" s="11" t="s">
        <v>904</v>
      </c>
      <c r="B768" s="12" t="n">
        <v>45817</v>
      </c>
      <c r="C768" s="11" t="s">
        <v>74</v>
      </c>
      <c r="D768" s="11" t="s">
        <v>75</v>
      </c>
      <c r="E768" s="11" t="s">
        <v>76</v>
      </c>
      <c r="F768" s="11" t="s">
        <v>135</v>
      </c>
      <c r="G768" s="11" t="s">
        <v>42</v>
      </c>
      <c r="H768" s="11" t="s">
        <v>53</v>
      </c>
      <c r="I768" s="11" t="s">
        <v>94</v>
      </c>
      <c r="J768" s="11" t="s">
        <v>95</v>
      </c>
      <c r="K768" s="13" t="n">
        <v>37.82</v>
      </c>
      <c r="L768" s="11" t="n">
        <v>71</v>
      </c>
      <c r="M768" s="14" t="n">
        <v>0.1</v>
      </c>
      <c r="N768" s="13" t="n">
        <v>22.38</v>
      </c>
      <c r="O768" s="13" t="n">
        <f aca="false">K768*L768*(1-M768)</f>
        <v>2416.698</v>
      </c>
      <c r="P768" s="13" t="n">
        <f aca="false">N768*L768</f>
        <v>1588.98</v>
      </c>
      <c r="Q768" s="13" t="n">
        <f aca="false">O768-P768</f>
        <v>827.718</v>
      </c>
      <c r="R768" s="11" t="s">
        <v>63</v>
      </c>
      <c r="S768" s="11" t="s">
        <v>47</v>
      </c>
    </row>
    <row r="769" customFormat="false" ht="15" hidden="false" customHeight="true" outlineLevel="0" collapsed="false">
      <c r="A769" s="15" t="s">
        <v>905</v>
      </c>
      <c r="B769" s="16" t="n">
        <v>45819</v>
      </c>
      <c r="C769" s="15" t="s">
        <v>49</v>
      </c>
      <c r="D769" s="15" t="s">
        <v>152</v>
      </c>
      <c r="E769" s="15" t="s">
        <v>152</v>
      </c>
      <c r="F769" s="15" t="s">
        <v>118</v>
      </c>
      <c r="G769" s="15" t="s">
        <v>126</v>
      </c>
      <c r="H769" s="15" t="s">
        <v>78</v>
      </c>
      <c r="I769" s="15" t="s">
        <v>79</v>
      </c>
      <c r="J769" s="15" t="s">
        <v>216</v>
      </c>
      <c r="K769" s="17" t="n">
        <v>4288.99</v>
      </c>
      <c r="L769" s="15" t="n">
        <v>5</v>
      </c>
      <c r="M769" s="18" t="n">
        <v>0</v>
      </c>
      <c r="N769" s="17" t="n">
        <v>3432.96</v>
      </c>
      <c r="O769" s="17" t="n">
        <f aca="false">K769*L769*(1-M769)</f>
        <v>21444.95</v>
      </c>
      <c r="P769" s="17" t="n">
        <f aca="false">N769*L769</f>
        <v>17164.8</v>
      </c>
      <c r="Q769" s="17" t="n">
        <f aca="false">O769-P769</f>
        <v>4280.15</v>
      </c>
      <c r="R769" s="15" t="s">
        <v>167</v>
      </c>
      <c r="S769" s="15" t="s">
        <v>47</v>
      </c>
    </row>
    <row r="770" customFormat="false" ht="15" hidden="false" customHeight="true" outlineLevel="0" collapsed="false">
      <c r="A770" s="11" t="s">
        <v>906</v>
      </c>
      <c r="B770" s="12" t="n">
        <v>45820</v>
      </c>
      <c r="C770" s="11" t="s">
        <v>38</v>
      </c>
      <c r="D770" s="11" t="s">
        <v>39</v>
      </c>
      <c r="E770" s="11" t="s">
        <v>40</v>
      </c>
      <c r="F770" s="11" t="s">
        <v>60</v>
      </c>
      <c r="G770" s="11" t="s">
        <v>77</v>
      </c>
      <c r="H770" s="11" t="s">
        <v>53</v>
      </c>
      <c r="I770" s="11" t="s">
        <v>94</v>
      </c>
      <c r="J770" s="11" t="s">
        <v>131</v>
      </c>
      <c r="K770" s="13" t="n">
        <v>28.3</v>
      </c>
      <c r="L770" s="11" t="n">
        <v>16</v>
      </c>
      <c r="M770" s="14" t="n">
        <v>0.1</v>
      </c>
      <c r="N770" s="13" t="n">
        <v>17.09</v>
      </c>
      <c r="O770" s="13" t="n">
        <f aca="false">K770*L770*(1-M770)</f>
        <v>407.52</v>
      </c>
      <c r="P770" s="13" t="n">
        <f aca="false">N770*L770</f>
        <v>273.44</v>
      </c>
      <c r="Q770" s="13" t="n">
        <f aca="false">O770-P770</f>
        <v>134.08</v>
      </c>
      <c r="R770" s="11" t="s">
        <v>46</v>
      </c>
      <c r="S770" s="11" t="s">
        <v>47</v>
      </c>
    </row>
    <row r="771" customFormat="false" ht="15" hidden="false" customHeight="true" outlineLevel="0" collapsed="false">
      <c r="A771" s="15" t="s">
        <v>907</v>
      </c>
      <c r="B771" s="16" t="n">
        <v>45821</v>
      </c>
      <c r="C771" s="15" t="s">
        <v>38</v>
      </c>
      <c r="D771" s="15" t="s">
        <v>88</v>
      </c>
      <c r="E771" s="15" t="s">
        <v>89</v>
      </c>
      <c r="F771" s="15" t="s">
        <v>51</v>
      </c>
      <c r="G771" s="15" t="s">
        <v>52</v>
      </c>
      <c r="H771" s="15" t="s">
        <v>84</v>
      </c>
      <c r="I771" s="15" t="s">
        <v>136</v>
      </c>
      <c r="J771" s="15" t="s">
        <v>247</v>
      </c>
      <c r="K771" s="17" t="n">
        <v>1129.68</v>
      </c>
      <c r="L771" s="15" t="n">
        <v>26</v>
      </c>
      <c r="M771" s="18" t="n">
        <v>0</v>
      </c>
      <c r="N771" s="17" t="n">
        <v>818.19</v>
      </c>
      <c r="O771" s="17" t="n">
        <f aca="false">K771*L771*(1-M771)</f>
        <v>29371.68</v>
      </c>
      <c r="P771" s="17" t="n">
        <f aca="false">N771*L771</f>
        <v>21272.94</v>
      </c>
      <c r="Q771" s="17" t="n">
        <f aca="false">O771-P771</f>
        <v>8098.74</v>
      </c>
      <c r="R771" s="15" t="s">
        <v>46</v>
      </c>
      <c r="S771" s="15" t="s">
        <v>47</v>
      </c>
    </row>
    <row r="772" customFormat="false" ht="15" hidden="false" customHeight="true" outlineLevel="0" collapsed="false">
      <c r="A772" s="11" t="s">
        <v>908</v>
      </c>
      <c r="B772" s="12" t="n">
        <v>45822</v>
      </c>
      <c r="C772" s="11" t="s">
        <v>49</v>
      </c>
      <c r="D772" s="11" t="s">
        <v>97</v>
      </c>
      <c r="E772" s="11" t="s">
        <v>108</v>
      </c>
      <c r="F772" s="11" t="s">
        <v>41</v>
      </c>
      <c r="G772" s="11" t="s">
        <v>126</v>
      </c>
      <c r="H772" s="11" t="s">
        <v>84</v>
      </c>
      <c r="I772" s="11" t="s">
        <v>100</v>
      </c>
      <c r="J772" s="11" t="s">
        <v>101</v>
      </c>
      <c r="K772" s="13" t="n">
        <v>2147.15</v>
      </c>
      <c r="L772" s="11" t="n">
        <v>10</v>
      </c>
      <c r="M772" s="14" t="n">
        <v>0.05</v>
      </c>
      <c r="N772" s="13" t="n">
        <v>1652.91</v>
      </c>
      <c r="O772" s="13" t="n">
        <f aca="false">K772*L772*(1-M772)</f>
        <v>20397.925</v>
      </c>
      <c r="P772" s="13" t="n">
        <f aca="false">N772*L772</f>
        <v>16529.1</v>
      </c>
      <c r="Q772" s="13" t="n">
        <f aca="false">O772-P772</f>
        <v>3868.825</v>
      </c>
      <c r="R772" s="11" t="s">
        <v>46</v>
      </c>
      <c r="S772" s="11" t="s">
        <v>47</v>
      </c>
    </row>
    <row r="773" customFormat="false" ht="15" hidden="false" customHeight="true" outlineLevel="0" collapsed="false">
      <c r="A773" s="15" t="s">
        <v>909</v>
      </c>
      <c r="B773" s="16" t="n">
        <v>45823</v>
      </c>
      <c r="C773" s="15" t="s">
        <v>49</v>
      </c>
      <c r="D773" s="15" t="s">
        <v>152</v>
      </c>
      <c r="E773" s="15" t="s">
        <v>152</v>
      </c>
      <c r="F773" s="15" t="s">
        <v>68</v>
      </c>
      <c r="G773" s="15" t="s">
        <v>42</v>
      </c>
      <c r="H773" s="15" t="s">
        <v>43</v>
      </c>
      <c r="I773" s="15" t="s">
        <v>44</v>
      </c>
      <c r="J773" s="15" t="s">
        <v>45</v>
      </c>
      <c r="K773" s="17" t="n">
        <v>184.24</v>
      </c>
      <c r="L773" s="15" t="n">
        <v>12</v>
      </c>
      <c r="M773" s="18" t="n">
        <v>0</v>
      </c>
      <c r="N773" s="17" t="n">
        <v>55.32</v>
      </c>
      <c r="O773" s="17" t="n">
        <f aca="false">K773*L773*(1-M773)</f>
        <v>2210.88</v>
      </c>
      <c r="P773" s="17" t="n">
        <f aca="false">N773*L773</f>
        <v>663.84</v>
      </c>
      <c r="Q773" s="17" t="n">
        <f aca="false">O773-P773</f>
        <v>1547.04</v>
      </c>
      <c r="R773" s="15" t="s">
        <v>63</v>
      </c>
      <c r="S773" s="15" t="s">
        <v>47</v>
      </c>
    </row>
    <row r="774" customFormat="false" ht="15" hidden="false" customHeight="true" outlineLevel="0" collapsed="false">
      <c r="A774" s="11" t="s">
        <v>910</v>
      </c>
      <c r="B774" s="12" t="n">
        <v>45823</v>
      </c>
      <c r="C774" s="11" t="s">
        <v>38</v>
      </c>
      <c r="D774" s="11" t="s">
        <v>92</v>
      </c>
      <c r="E774" s="11" t="s">
        <v>93</v>
      </c>
      <c r="F774" s="11" t="s">
        <v>99</v>
      </c>
      <c r="G774" s="11" t="s">
        <v>130</v>
      </c>
      <c r="H774" s="11" t="s">
        <v>78</v>
      </c>
      <c r="I774" s="11" t="s">
        <v>143</v>
      </c>
      <c r="J774" s="11" t="s">
        <v>144</v>
      </c>
      <c r="K774" s="13" t="n">
        <v>1681.05</v>
      </c>
      <c r="L774" s="11" t="n">
        <v>4</v>
      </c>
      <c r="M774" s="14" t="n">
        <v>0.05</v>
      </c>
      <c r="N774" s="13" t="n">
        <v>1350.99</v>
      </c>
      <c r="O774" s="13" t="n">
        <f aca="false">K774*L774*(1-M774)</f>
        <v>6387.99</v>
      </c>
      <c r="P774" s="13" t="n">
        <f aca="false">N774*L774</f>
        <v>5403.96</v>
      </c>
      <c r="Q774" s="13" t="n">
        <f aca="false">O774-P774</f>
        <v>984.03</v>
      </c>
      <c r="R774" s="11" t="s">
        <v>167</v>
      </c>
      <c r="S774" s="11" t="s">
        <v>47</v>
      </c>
    </row>
    <row r="775" customFormat="false" ht="15" hidden="false" customHeight="true" outlineLevel="0" collapsed="false">
      <c r="A775" s="15" t="s">
        <v>911</v>
      </c>
      <c r="B775" s="16" t="n">
        <v>45823</v>
      </c>
      <c r="C775" s="15" t="s">
        <v>38</v>
      </c>
      <c r="D775" s="15" t="s">
        <v>39</v>
      </c>
      <c r="E775" s="15" t="s">
        <v>40</v>
      </c>
      <c r="F775" s="15" t="s">
        <v>51</v>
      </c>
      <c r="G775" s="15" t="s">
        <v>130</v>
      </c>
      <c r="H775" s="15" t="s">
        <v>53</v>
      </c>
      <c r="I775" s="15" t="s">
        <v>94</v>
      </c>
      <c r="J775" s="15" t="s">
        <v>131</v>
      </c>
      <c r="K775" s="17" t="n">
        <v>46.65</v>
      </c>
      <c r="L775" s="15" t="n">
        <v>51</v>
      </c>
      <c r="M775" s="18" t="n">
        <v>0.05</v>
      </c>
      <c r="N775" s="17" t="n">
        <v>27.52</v>
      </c>
      <c r="O775" s="17" t="n">
        <f aca="false">K775*L775*(1-M775)</f>
        <v>2260.1925</v>
      </c>
      <c r="P775" s="17" t="n">
        <f aca="false">N775*L775</f>
        <v>1403.52</v>
      </c>
      <c r="Q775" s="17" t="n">
        <f aca="false">O775-P775</f>
        <v>856.6725</v>
      </c>
      <c r="R775" s="15" t="s">
        <v>46</v>
      </c>
      <c r="S775" s="15" t="s">
        <v>47</v>
      </c>
    </row>
    <row r="776" customFormat="false" ht="15" hidden="false" customHeight="true" outlineLevel="0" collapsed="false">
      <c r="A776" s="11" t="s">
        <v>912</v>
      </c>
      <c r="B776" s="12" t="n">
        <v>45824</v>
      </c>
      <c r="C776" s="11" t="s">
        <v>38</v>
      </c>
      <c r="D776" s="11" t="s">
        <v>88</v>
      </c>
      <c r="E776" s="11" t="s">
        <v>89</v>
      </c>
      <c r="F776" s="11" t="s">
        <v>41</v>
      </c>
      <c r="G776" s="11" t="s">
        <v>42</v>
      </c>
      <c r="H776" s="11" t="s">
        <v>78</v>
      </c>
      <c r="I776" s="11" t="s">
        <v>154</v>
      </c>
      <c r="J776" s="11" t="s">
        <v>155</v>
      </c>
      <c r="K776" s="13" t="n">
        <v>475.55</v>
      </c>
      <c r="L776" s="11" t="n">
        <v>10</v>
      </c>
      <c r="M776" s="14" t="n">
        <v>0.05</v>
      </c>
      <c r="N776" s="13" t="n">
        <v>398.94</v>
      </c>
      <c r="O776" s="13" t="n">
        <f aca="false">K776*L776*(1-M776)</f>
        <v>4517.725</v>
      </c>
      <c r="P776" s="13" t="n">
        <f aca="false">N776*L776</f>
        <v>3989.4</v>
      </c>
      <c r="Q776" s="13" t="n">
        <f aca="false">O776-P776</f>
        <v>528.324999999999</v>
      </c>
      <c r="R776" s="11" t="s">
        <v>114</v>
      </c>
      <c r="S776" s="11" t="s">
        <v>72</v>
      </c>
    </row>
    <row r="777" customFormat="false" ht="15" hidden="false" customHeight="true" outlineLevel="0" collapsed="false">
      <c r="A777" s="15" t="s">
        <v>913</v>
      </c>
      <c r="B777" s="16" t="n">
        <v>45825</v>
      </c>
      <c r="C777" s="15" t="s">
        <v>38</v>
      </c>
      <c r="D777" s="15" t="s">
        <v>39</v>
      </c>
      <c r="E777" s="15" t="s">
        <v>40</v>
      </c>
      <c r="F777" s="15" t="s">
        <v>99</v>
      </c>
      <c r="G777" s="15" t="s">
        <v>130</v>
      </c>
      <c r="H777" s="15" t="s">
        <v>43</v>
      </c>
      <c r="I777" s="15" t="s">
        <v>61</v>
      </c>
      <c r="J777" s="15" t="s">
        <v>147</v>
      </c>
      <c r="K777" s="17" t="n">
        <v>297.66</v>
      </c>
      <c r="L777" s="15" t="n">
        <v>29</v>
      </c>
      <c r="M777" s="18" t="n">
        <v>0</v>
      </c>
      <c r="N777" s="17" t="n">
        <v>93.15</v>
      </c>
      <c r="O777" s="17" t="n">
        <f aca="false">K777*L777*(1-M777)</f>
        <v>8632.14</v>
      </c>
      <c r="P777" s="17" t="n">
        <f aca="false">N777*L777</f>
        <v>2701.35</v>
      </c>
      <c r="Q777" s="17" t="n">
        <f aca="false">O777-P777</f>
        <v>5930.79</v>
      </c>
      <c r="R777" s="15" t="s">
        <v>63</v>
      </c>
      <c r="S777" s="15" t="s">
        <v>47</v>
      </c>
    </row>
    <row r="778" customFormat="false" ht="15" hidden="false" customHeight="true" outlineLevel="0" collapsed="false">
      <c r="A778" s="11" t="s">
        <v>914</v>
      </c>
      <c r="B778" s="12" t="n">
        <v>45825</v>
      </c>
      <c r="C778" s="11" t="s">
        <v>49</v>
      </c>
      <c r="D778" s="11" t="s">
        <v>97</v>
      </c>
      <c r="E778" s="11" t="s">
        <v>108</v>
      </c>
      <c r="F778" s="11" t="s">
        <v>99</v>
      </c>
      <c r="G778" s="11" t="s">
        <v>42</v>
      </c>
      <c r="H778" s="11" t="s">
        <v>84</v>
      </c>
      <c r="I778" s="11" t="s">
        <v>100</v>
      </c>
      <c r="J778" s="11" t="s">
        <v>139</v>
      </c>
      <c r="K778" s="13" t="n">
        <v>822.96</v>
      </c>
      <c r="L778" s="11" t="n">
        <v>4</v>
      </c>
      <c r="M778" s="14" t="n">
        <v>0.05</v>
      </c>
      <c r="N778" s="13" t="n">
        <v>620.21</v>
      </c>
      <c r="O778" s="13" t="n">
        <f aca="false">K778*L778*(1-M778)</f>
        <v>3127.248</v>
      </c>
      <c r="P778" s="13" t="n">
        <f aca="false">N778*L778</f>
        <v>2480.84</v>
      </c>
      <c r="Q778" s="13" t="n">
        <f aca="false">O778-P778</f>
        <v>646.408</v>
      </c>
      <c r="R778" s="11" t="s">
        <v>46</v>
      </c>
      <c r="S778" s="11" t="s">
        <v>47</v>
      </c>
    </row>
    <row r="779" customFormat="false" ht="15" hidden="false" customHeight="true" outlineLevel="0" collapsed="false">
      <c r="A779" s="15" t="s">
        <v>915</v>
      </c>
      <c r="B779" s="16" t="n">
        <v>45826</v>
      </c>
      <c r="C779" s="15" t="s">
        <v>65</v>
      </c>
      <c r="D779" s="15" t="s">
        <v>149</v>
      </c>
      <c r="E779" s="15" t="s">
        <v>150</v>
      </c>
      <c r="F779" s="15" t="s">
        <v>68</v>
      </c>
      <c r="G779" s="15" t="s">
        <v>77</v>
      </c>
      <c r="H779" s="15" t="s">
        <v>53</v>
      </c>
      <c r="I779" s="15" t="s">
        <v>69</v>
      </c>
      <c r="J779" s="15" t="s">
        <v>70</v>
      </c>
      <c r="K779" s="17" t="n">
        <v>31.44</v>
      </c>
      <c r="L779" s="15" t="n">
        <v>70</v>
      </c>
      <c r="M779" s="18" t="n">
        <v>0.1</v>
      </c>
      <c r="N779" s="17" t="n">
        <v>22.66</v>
      </c>
      <c r="O779" s="17" t="n">
        <f aca="false">K779*L779*(1-M779)</f>
        <v>1980.72</v>
      </c>
      <c r="P779" s="17" t="n">
        <f aca="false">N779*L779</f>
        <v>1586.2</v>
      </c>
      <c r="Q779" s="17" t="n">
        <f aca="false">O779-P779</f>
        <v>394.52</v>
      </c>
      <c r="R779" s="15" t="s">
        <v>63</v>
      </c>
      <c r="S779" s="15" t="s">
        <v>47</v>
      </c>
    </row>
    <row r="780" customFormat="false" ht="15" hidden="false" customHeight="true" outlineLevel="0" collapsed="false">
      <c r="A780" s="11" t="s">
        <v>916</v>
      </c>
      <c r="B780" s="12" t="n">
        <v>45827</v>
      </c>
      <c r="C780" s="11" t="s">
        <v>49</v>
      </c>
      <c r="D780" s="11" t="s">
        <v>97</v>
      </c>
      <c r="E780" s="11" t="s">
        <v>112</v>
      </c>
      <c r="F780" s="11" t="s">
        <v>51</v>
      </c>
      <c r="G780" s="11" t="s">
        <v>42</v>
      </c>
      <c r="H780" s="11" t="s">
        <v>53</v>
      </c>
      <c r="I780" s="11" t="s">
        <v>69</v>
      </c>
      <c r="J780" s="11" t="s">
        <v>128</v>
      </c>
      <c r="K780" s="13" t="n">
        <v>16.5</v>
      </c>
      <c r="L780" s="11" t="n">
        <v>35</v>
      </c>
      <c r="M780" s="14" t="n">
        <v>0.1</v>
      </c>
      <c r="N780" s="13" t="n">
        <v>11.95</v>
      </c>
      <c r="O780" s="13" t="n">
        <f aca="false">K780*L780*(1-M780)</f>
        <v>519.75</v>
      </c>
      <c r="P780" s="13" t="n">
        <f aca="false">N780*L780</f>
        <v>418.25</v>
      </c>
      <c r="Q780" s="13" t="n">
        <f aca="false">O780-P780</f>
        <v>101.5</v>
      </c>
      <c r="R780" s="11" t="s">
        <v>167</v>
      </c>
      <c r="S780" s="11" t="s">
        <v>72</v>
      </c>
    </row>
    <row r="781" customFormat="false" ht="15" hidden="false" customHeight="true" outlineLevel="0" collapsed="false">
      <c r="A781" s="15" t="s">
        <v>917</v>
      </c>
      <c r="B781" s="16" t="n">
        <v>45827</v>
      </c>
      <c r="C781" s="15" t="s">
        <v>49</v>
      </c>
      <c r="D781" s="15" t="s">
        <v>97</v>
      </c>
      <c r="E781" s="15" t="s">
        <v>108</v>
      </c>
      <c r="F781" s="15" t="s">
        <v>177</v>
      </c>
      <c r="G781" s="15" t="s">
        <v>77</v>
      </c>
      <c r="H781" s="15" t="s">
        <v>84</v>
      </c>
      <c r="I781" s="15" t="s">
        <v>100</v>
      </c>
      <c r="J781" s="15" t="s">
        <v>101</v>
      </c>
      <c r="K781" s="17" t="n">
        <v>2311.8</v>
      </c>
      <c r="L781" s="15" t="n">
        <v>11</v>
      </c>
      <c r="M781" s="18" t="n">
        <v>0.1</v>
      </c>
      <c r="N781" s="17" t="n">
        <v>1845.98</v>
      </c>
      <c r="O781" s="17" t="n">
        <f aca="false">K781*L781*(1-M781)</f>
        <v>22886.82</v>
      </c>
      <c r="P781" s="17" t="n">
        <f aca="false">N781*L781</f>
        <v>20305.78</v>
      </c>
      <c r="Q781" s="17" t="n">
        <f aca="false">O781-P781</f>
        <v>2581.04</v>
      </c>
      <c r="R781" s="15" t="s">
        <v>167</v>
      </c>
      <c r="S781" s="15" t="s">
        <v>47</v>
      </c>
    </row>
    <row r="782" customFormat="false" ht="15" hidden="false" customHeight="true" outlineLevel="0" collapsed="false">
      <c r="A782" s="11" t="s">
        <v>918</v>
      </c>
      <c r="B782" s="12" t="n">
        <v>45828</v>
      </c>
      <c r="C782" s="11" t="s">
        <v>49</v>
      </c>
      <c r="D782" s="11" t="s">
        <v>152</v>
      </c>
      <c r="E782" s="11" t="s">
        <v>152</v>
      </c>
      <c r="F782" s="11" t="s">
        <v>123</v>
      </c>
      <c r="G782" s="11" t="s">
        <v>77</v>
      </c>
      <c r="H782" s="11" t="s">
        <v>53</v>
      </c>
      <c r="I782" s="11" t="s">
        <v>69</v>
      </c>
      <c r="J782" s="11" t="s">
        <v>70</v>
      </c>
      <c r="K782" s="13" t="n">
        <v>27.08</v>
      </c>
      <c r="L782" s="11" t="n">
        <v>97</v>
      </c>
      <c r="M782" s="14" t="n">
        <v>0</v>
      </c>
      <c r="N782" s="13" t="n">
        <v>17.91</v>
      </c>
      <c r="O782" s="13" t="n">
        <f aca="false">K782*L782*(1-M782)</f>
        <v>2626.76</v>
      </c>
      <c r="P782" s="13" t="n">
        <f aca="false">N782*L782</f>
        <v>1737.27</v>
      </c>
      <c r="Q782" s="13" t="n">
        <f aca="false">O782-P782</f>
        <v>889.49</v>
      </c>
      <c r="R782" s="11" t="s">
        <v>114</v>
      </c>
      <c r="S782" s="11" t="s">
        <v>47</v>
      </c>
    </row>
    <row r="783" customFormat="false" ht="15" hidden="false" customHeight="true" outlineLevel="0" collapsed="false">
      <c r="A783" s="15" t="s">
        <v>919</v>
      </c>
      <c r="B783" s="16" t="n">
        <v>45828</v>
      </c>
      <c r="C783" s="15" t="s">
        <v>49</v>
      </c>
      <c r="D783" s="15" t="s">
        <v>97</v>
      </c>
      <c r="E783" s="15" t="s">
        <v>108</v>
      </c>
      <c r="F783" s="15" t="s">
        <v>177</v>
      </c>
      <c r="G783" s="15" t="s">
        <v>77</v>
      </c>
      <c r="H783" s="15" t="s">
        <v>78</v>
      </c>
      <c r="I783" s="15" t="s">
        <v>79</v>
      </c>
      <c r="J783" s="15" t="s">
        <v>80</v>
      </c>
      <c r="K783" s="17" t="n">
        <v>3342.62</v>
      </c>
      <c r="L783" s="15" t="n">
        <v>14</v>
      </c>
      <c r="M783" s="18" t="n">
        <v>0.05</v>
      </c>
      <c r="N783" s="17" t="n">
        <v>2675.2</v>
      </c>
      <c r="O783" s="17" t="n">
        <f aca="false">K783*L783*(1-M783)</f>
        <v>44456.846</v>
      </c>
      <c r="P783" s="17" t="n">
        <f aca="false">N783*L783</f>
        <v>37452.8</v>
      </c>
      <c r="Q783" s="17" t="n">
        <f aca="false">O783-P783</f>
        <v>7004.046</v>
      </c>
      <c r="R783" s="15" t="s">
        <v>71</v>
      </c>
      <c r="S783" s="15" t="s">
        <v>47</v>
      </c>
    </row>
    <row r="784" customFormat="false" ht="15" hidden="false" customHeight="true" outlineLevel="0" collapsed="false">
      <c r="A784" s="11" t="s">
        <v>920</v>
      </c>
      <c r="B784" s="12" t="n">
        <v>45828</v>
      </c>
      <c r="C784" s="11" t="s">
        <v>74</v>
      </c>
      <c r="D784" s="11" t="s">
        <v>171</v>
      </c>
      <c r="E784" s="11" t="s">
        <v>172</v>
      </c>
      <c r="F784" s="11" t="s">
        <v>51</v>
      </c>
      <c r="G784" s="11" t="s">
        <v>77</v>
      </c>
      <c r="H784" s="11" t="s">
        <v>84</v>
      </c>
      <c r="I784" s="11" t="s">
        <v>136</v>
      </c>
      <c r="J784" s="11" t="s">
        <v>247</v>
      </c>
      <c r="K784" s="13" t="n">
        <v>645.77</v>
      </c>
      <c r="L784" s="11" t="n">
        <v>25</v>
      </c>
      <c r="M784" s="14" t="n">
        <v>0</v>
      </c>
      <c r="N784" s="13" t="n">
        <v>487.3</v>
      </c>
      <c r="O784" s="13" t="n">
        <f aca="false">K784*L784*(1-M784)</f>
        <v>16144.25</v>
      </c>
      <c r="P784" s="13" t="n">
        <f aca="false">N784*L784</f>
        <v>12182.5</v>
      </c>
      <c r="Q784" s="13" t="n">
        <f aca="false">O784-P784</f>
        <v>3961.75</v>
      </c>
      <c r="R784" s="11" t="s">
        <v>63</v>
      </c>
      <c r="S784" s="11" t="s">
        <v>47</v>
      </c>
    </row>
    <row r="785" customFormat="false" ht="15" hidden="false" customHeight="true" outlineLevel="0" collapsed="false">
      <c r="A785" s="15" t="s">
        <v>921</v>
      </c>
      <c r="B785" s="16" t="n">
        <v>45828</v>
      </c>
      <c r="C785" s="15" t="s">
        <v>49</v>
      </c>
      <c r="D785" s="15" t="s">
        <v>97</v>
      </c>
      <c r="E785" s="15" t="s">
        <v>98</v>
      </c>
      <c r="F785" s="15" t="s">
        <v>123</v>
      </c>
      <c r="G785" s="15" t="s">
        <v>52</v>
      </c>
      <c r="H785" s="15" t="s">
        <v>53</v>
      </c>
      <c r="I785" s="15" t="s">
        <v>54</v>
      </c>
      <c r="J785" s="15" t="s">
        <v>55</v>
      </c>
      <c r="K785" s="17" t="n">
        <v>15.64</v>
      </c>
      <c r="L785" s="15" t="n">
        <v>30</v>
      </c>
      <c r="M785" s="18" t="n">
        <v>0</v>
      </c>
      <c r="N785" s="17" t="n">
        <v>10.47</v>
      </c>
      <c r="O785" s="17" t="n">
        <f aca="false">K785*L785*(1-M785)</f>
        <v>469.2</v>
      </c>
      <c r="P785" s="17" t="n">
        <f aca="false">N785*L785</f>
        <v>314.1</v>
      </c>
      <c r="Q785" s="17" t="n">
        <f aca="false">O785-P785</f>
        <v>155.1</v>
      </c>
      <c r="R785" s="15" t="s">
        <v>46</v>
      </c>
      <c r="S785" s="15" t="s">
        <v>47</v>
      </c>
    </row>
    <row r="786" customFormat="false" ht="15" hidden="false" customHeight="true" outlineLevel="0" collapsed="false">
      <c r="A786" s="11" t="s">
        <v>922</v>
      </c>
      <c r="B786" s="12" t="n">
        <v>45828</v>
      </c>
      <c r="C786" s="11" t="s">
        <v>65</v>
      </c>
      <c r="D786" s="11" t="s">
        <v>116</v>
      </c>
      <c r="E786" s="11" t="s">
        <v>117</v>
      </c>
      <c r="F786" s="11" t="s">
        <v>51</v>
      </c>
      <c r="G786" s="11" t="s">
        <v>42</v>
      </c>
      <c r="H786" s="11" t="s">
        <v>84</v>
      </c>
      <c r="I786" s="11" t="s">
        <v>100</v>
      </c>
      <c r="J786" s="11" t="s">
        <v>101</v>
      </c>
      <c r="K786" s="13" t="n">
        <v>1886.39</v>
      </c>
      <c r="L786" s="11" t="n">
        <v>11</v>
      </c>
      <c r="M786" s="14" t="n">
        <v>0.2</v>
      </c>
      <c r="N786" s="13" t="n">
        <v>1511.97</v>
      </c>
      <c r="O786" s="13" t="n">
        <f aca="false">K786*L786*(1-M786)</f>
        <v>16600.232</v>
      </c>
      <c r="P786" s="13" t="n">
        <f aca="false">N786*L786</f>
        <v>16631.67</v>
      </c>
      <c r="Q786" s="13" t="n">
        <f aca="false">O786-P786</f>
        <v>-31.4380000000019</v>
      </c>
      <c r="R786" s="11" t="s">
        <v>114</v>
      </c>
      <c r="S786" s="11" t="s">
        <v>72</v>
      </c>
    </row>
    <row r="787" customFormat="false" ht="15" hidden="false" customHeight="true" outlineLevel="0" collapsed="false">
      <c r="A787" s="15" t="s">
        <v>923</v>
      </c>
      <c r="B787" s="16" t="n">
        <v>45829</v>
      </c>
      <c r="C787" s="15" t="s">
        <v>49</v>
      </c>
      <c r="D787" s="15" t="s">
        <v>97</v>
      </c>
      <c r="E787" s="15" t="s">
        <v>108</v>
      </c>
      <c r="F787" s="15" t="s">
        <v>68</v>
      </c>
      <c r="G787" s="15" t="s">
        <v>52</v>
      </c>
      <c r="H787" s="15" t="s">
        <v>43</v>
      </c>
      <c r="I787" s="15" t="s">
        <v>44</v>
      </c>
      <c r="J787" s="15" t="s">
        <v>45</v>
      </c>
      <c r="K787" s="17" t="n">
        <v>276.05</v>
      </c>
      <c r="L787" s="15" t="n">
        <v>45</v>
      </c>
      <c r="M787" s="18" t="n">
        <v>0</v>
      </c>
      <c r="N787" s="17" t="n">
        <v>91.39</v>
      </c>
      <c r="O787" s="17" t="n">
        <f aca="false">K787*L787*(1-M787)</f>
        <v>12422.25</v>
      </c>
      <c r="P787" s="17" t="n">
        <f aca="false">N787*L787</f>
        <v>4112.55</v>
      </c>
      <c r="Q787" s="17" t="n">
        <f aca="false">O787-P787</f>
        <v>8309.7</v>
      </c>
      <c r="R787" s="15" t="s">
        <v>114</v>
      </c>
      <c r="S787" s="15" t="s">
        <v>47</v>
      </c>
    </row>
    <row r="788" customFormat="false" ht="15" hidden="false" customHeight="true" outlineLevel="0" collapsed="false">
      <c r="A788" s="11" t="s">
        <v>924</v>
      </c>
      <c r="B788" s="12" t="n">
        <v>45830</v>
      </c>
      <c r="C788" s="11" t="s">
        <v>65</v>
      </c>
      <c r="D788" s="11" t="s">
        <v>66</v>
      </c>
      <c r="E788" s="11" t="s">
        <v>67</v>
      </c>
      <c r="F788" s="11" t="s">
        <v>41</v>
      </c>
      <c r="G788" s="11" t="s">
        <v>77</v>
      </c>
      <c r="H788" s="11" t="s">
        <v>53</v>
      </c>
      <c r="I788" s="11" t="s">
        <v>94</v>
      </c>
      <c r="J788" s="11" t="s">
        <v>131</v>
      </c>
      <c r="K788" s="13" t="n">
        <v>46.15</v>
      </c>
      <c r="L788" s="11" t="n">
        <v>58</v>
      </c>
      <c r="M788" s="14" t="n">
        <v>0.1</v>
      </c>
      <c r="N788" s="13" t="n">
        <v>26.38</v>
      </c>
      <c r="O788" s="13" t="n">
        <f aca="false">K788*L788*(1-M788)</f>
        <v>2409.03</v>
      </c>
      <c r="P788" s="13" t="n">
        <f aca="false">N788*L788</f>
        <v>1530.04</v>
      </c>
      <c r="Q788" s="13" t="n">
        <f aca="false">O788-P788</f>
        <v>878.99</v>
      </c>
      <c r="R788" s="11" t="s">
        <v>46</v>
      </c>
      <c r="S788" s="11" t="s">
        <v>47</v>
      </c>
    </row>
    <row r="789" customFormat="false" ht="15" hidden="false" customHeight="true" outlineLevel="0" collapsed="false">
      <c r="A789" s="15" t="s">
        <v>925</v>
      </c>
      <c r="B789" s="16" t="n">
        <v>45830</v>
      </c>
      <c r="C789" s="15" t="s">
        <v>38</v>
      </c>
      <c r="D789" s="15" t="s">
        <v>88</v>
      </c>
      <c r="E789" s="15" t="s">
        <v>89</v>
      </c>
      <c r="F789" s="15" t="s">
        <v>118</v>
      </c>
      <c r="G789" s="15" t="s">
        <v>42</v>
      </c>
      <c r="H789" s="15" t="s">
        <v>53</v>
      </c>
      <c r="I789" s="15" t="s">
        <v>94</v>
      </c>
      <c r="J789" s="15" t="s">
        <v>95</v>
      </c>
      <c r="K789" s="17" t="n">
        <v>19.08</v>
      </c>
      <c r="L789" s="15" t="n">
        <v>114</v>
      </c>
      <c r="M789" s="18" t="n">
        <v>0.1</v>
      </c>
      <c r="N789" s="17" t="n">
        <v>11.16</v>
      </c>
      <c r="O789" s="17" t="n">
        <f aca="false">K789*L789*(1-M789)</f>
        <v>1957.608</v>
      </c>
      <c r="P789" s="17" t="n">
        <f aca="false">N789*L789</f>
        <v>1272.24</v>
      </c>
      <c r="Q789" s="17" t="n">
        <f aca="false">O789-P789</f>
        <v>685.368</v>
      </c>
      <c r="R789" s="15" t="s">
        <v>114</v>
      </c>
      <c r="S789" s="15" t="s">
        <v>47</v>
      </c>
    </row>
    <row r="790" customFormat="false" ht="15" hidden="false" customHeight="true" outlineLevel="0" collapsed="false">
      <c r="A790" s="11" t="s">
        <v>926</v>
      </c>
      <c r="B790" s="12" t="n">
        <v>45830</v>
      </c>
      <c r="C790" s="11" t="s">
        <v>49</v>
      </c>
      <c r="D790" s="11" t="s">
        <v>97</v>
      </c>
      <c r="E790" s="11" t="s">
        <v>98</v>
      </c>
      <c r="F790" s="11" t="s">
        <v>99</v>
      </c>
      <c r="G790" s="11" t="s">
        <v>130</v>
      </c>
      <c r="H790" s="11" t="s">
        <v>43</v>
      </c>
      <c r="I790" s="11" t="s">
        <v>61</v>
      </c>
      <c r="J790" s="11" t="s">
        <v>147</v>
      </c>
      <c r="K790" s="13" t="n">
        <v>393.65</v>
      </c>
      <c r="L790" s="11" t="n">
        <v>34</v>
      </c>
      <c r="M790" s="14" t="n">
        <v>0.1</v>
      </c>
      <c r="N790" s="13" t="n">
        <v>134.57</v>
      </c>
      <c r="O790" s="13" t="n">
        <f aca="false">K790*L790*(1-M790)</f>
        <v>12045.69</v>
      </c>
      <c r="P790" s="13" t="n">
        <f aca="false">N790*L790</f>
        <v>4575.38</v>
      </c>
      <c r="Q790" s="13" t="n">
        <f aca="false">O790-P790</f>
        <v>7470.31</v>
      </c>
      <c r="R790" s="11" t="s">
        <v>114</v>
      </c>
      <c r="S790" s="11" t="s">
        <v>124</v>
      </c>
    </row>
    <row r="791" customFormat="false" ht="15" hidden="false" customHeight="true" outlineLevel="0" collapsed="false">
      <c r="A791" s="15" t="s">
        <v>927</v>
      </c>
      <c r="B791" s="16" t="n">
        <v>45831</v>
      </c>
      <c r="C791" s="15" t="s">
        <v>38</v>
      </c>
      <c r="D791" s="15" t="s">
        <v>88</v>
      </c>
      <c r="E791" s="15" t="s">
        <v>89</v>
      </c>
      <c r="F791" s="15" t="s">
        <v>118</v>
      </c>
      <c r="G791" s="15" t="s">
        <v>42</v>
      </c>
      <c r="H791" s="15" t="s">
        <v>78</v>
      </c>
      <c r="I791" s="15" t="s">
        <v>143</v>
      </c>
      <c r="J791" s="15" t="s">
        <v>158</v>
      </c>
      <c r="K791" s="17" t="n">
        <v>888.93</v>
      </c>
      <c r="L791" s="15" t="n">
        <v>14</v>
      </c>
      <c r="M791" s="18" t="n">
        <v>0.05</v>
      </c>
      <c r="N791" s="17" t="n">
        <v>716.7</v>
      </c>
      <c r="O791" s="17" t="n">
        <f aca="false">K791*L791*(1-M791)</f>
        <v>11822.769</v>
      </c>
      <c r="P791" s="17" t="n">
        <f aca="false">N791*L791</f>
        <v>10033.8</v>
      </c>
      <c r="Q791" s="17" t="n">
        <f aca="false">O791-P791</f>
        <v>1788.969</v>
      </c>
      <c r="R791" s="15" t="s">
        <v>63</v>
      </c>
      <c r="S791" s="15" t="s">
        <v>47</v>
      </c>
    </row>
    <row r="792" customFormat="false" ht="15" hidden="false" customHeight="true" outlineLevel="0" collapsed="false">
      <c r="A792" s="11" t="s">
        <v>928</v>
      </c>
      <c r="B792" s="12" t="n">
        <v>45832</v>
      </c>
      <c r="C792" s="11" t="s">
        <v>49</v>
      </c>
      <c r="D792" s="11" t="s">
        <v>97</v>
      </c>
      <c r="E792" s="11" t="s">
        <v>98</v>
      </c>
      <c r="F792" s="11" t="s">
        <v>60</v>
      </c>
      <c r="G792" s="11" t="s">
        <v>77</v>
      </c>
      <c r="H792" s="11" t="s">
        <v>43</v>
      </c>
      <c r="I792" s="11" t="s">
        <v>44</v>
      </c>
      <c r="J792" s="11" t="s">
        <v>106</v>
      </c>
      <c r="K792" s="13" t="n">
        <v>310.01</v>
      </c>
      <c r="L792" s="11" t="n">
        <v>24</v>
      </c>
      <c r="M792" s="14" t="n">
        <v>0</v>
      </c>
      <c r="N792" s="13" t="n">
        <v>110.65</v>
      </c>
      <c r="O792" s="13" t="n">
        <f aca="false">K792*L792*(1-M792)</f>
        <v>7440.24</v>
      </c>
      <c r="P792" s="13" t="n">
        <f aca="false">N792*L792</f>
        <v>2655.6</v>
      </c>
      <c r="Q792" s="13" t="n">
        <f aca="false">O792-P792</f>
        <v>4784.64</v>
      </c>
      <c r="R792" s="11" t="s">
        <v>63</v>
      </c>
      <c r="S792" s="11" t="s">
        <v>47</v>
      </c>
    </row>
    <row r="793" customFormat="false" ht="15" hidden="false" customHeight="true" outlineLevel="0" collapsed="false">
      <c r="A793" s="15" t="s">
        <v>929</v>
      </c>
      <c r="B793" s="16" t="n">
        <v>45832</v>
      </c>
      <c r="C793" s="15" t="s">
        <v>49</v>
      </c>
      <c r="D793" s="15" t="s">
        <v>97</v>
      </c>
      <c r="E793" s="15" t="s">
        <v>108</v>
      </c>
      <c r="F793" s="15" t="s">
        <v>41</v>
      </c>
      <c r="G793" s="15" t="s">
        <v>130</v>
      </c>
      <c r="H793" s="15" t="s">
        <v>84</v>
      </c>
      <c r="I793" s="15" t="s">
        <v>85</v>
      </c>
      <c r="J793" s="15" t="s">
        <v>90</v>
      </c>
      <c r="K793" s="17" t="n">
        <v>647.65</v>
      </c>
      <c r="L793" s="15" t="n">
        <v>2</v>
      </c>
      <c r="M793" s="18" t="n">
        <v>0.05</v>
      </c>
      <c r="N793" s="17" t="n">
        <v>456.41</v>
      </c>
      <c r="O793" s="17" t="n">
        <f aca="false">K793*L793*(1-M793)</f>
        <v>1230.535</v>
      </c>
      <c r="P793" s="17" t="n">
        <f aca="false">N793*L793</f>
        <v>912.82</v>
      </c>
      <c r="Q793" s="17" t="n">
        <f aca="false">O793-P793</f>
        <v>317.715</v>
      </c>
      <c r="R793" s="15" t="s">
        <v>46</v>
      </c>
      <c r="S793" s="15" t="s">
        <v>47</v>
      </c>
    </row>
    <row r="794" customFormat="false" ht="15" hidden="false" customHeight="true" outlineLevel="0" collapsed="false">
      <c r="A794" s="11" t="s">
        <v>930</v>
      </c>
      <c r="B794" s="12" t="n">
        <v>45833</v>
      </c>
      <c r="C794" s="11" t="s">
        <v>49</v>
      </c>
      <c r="D794" s="11" t="s">
        <v>50</v>
      </c>
      <c r="E794" s="11" t="s">
        <v>50</v>
      </c>
      <c r="F794" s="11" t="s">
        <v>99</v>
      </c>
      <c r="G794" s="11" t="s">
        <v>77</v>
      </c>
      <c r="H794" s="11" t="s">
        <v>84</v>
      </c>
      <c r="I794" s="11" t="s">
        <v>136</v>
      </c>
      <c r="J794" s="11" t="s">
        <v>247</v>
      </c>
      <c r="K794" s="13" t="n">
        <v>1011.31</v>
      </c>
      <c r="L794" s="11" t="n">
        <v>29</v>
      </c>
      <c r="M794" s="14" t="n">
        <v>0</v>
      </c>
      <c r="N794" s="13" t="n">
        <v>806.46</v>
      </c>
      <c r="O794" s="13" t="n">
        <f aca="false">K794*L794*(1-M794)</f>
        <v>29327.99</v>
      </c>
      <c r="P794" s="13" t="n">
        <f aca="false">N794*L794</f>
        <v>23387.34</v>
      </c>
      <c r="Q794" s="13" t="n">
        <f aca="false">O794-P794</f>
        <v>5940.65</v>
      </c>
      <c r="R794" s="11" t="s">
        <v>63</v>
      </c>
      <c r="S794" s="11" t="s">
        <v>72</v>
      </c>
    </row>
    <row r="795" customFormat="false" ht="15" hidden="false" customHeight="true" outlineLevel="0" collapsed="false">
      <c r="A795" s="15" t="s">
        <v>931</v>
      </c>
      <c r="B795" s="16" t="n">
        <v>45833</v>
      </c>
      <c r="C795" s="15" t="s">
        <v>49</v>
      </c>
      <c r="D795" s="15" t="s">
        <v>97</v>
      </c>
      <c r="E795" s="15" t="s">
        <v>112</v>
      </c>
      <c r="F795" s="15" t="s">
        <v>123</v>
      </c>
      <c r="G795" s="15" t="s">
        <v>77</v>
      </c>
      <c r="H795" s="15" t="s">
        <v>78</v>
      </c>
      <c r="I795" s="15" t="s">
        <v>79</v>
      </c>
      <c r="J795" s="15" t="s">
        <v>216</v>
      </c>
      <c r="K795" s="17" t="n">
        <v>4037.58</v>
      </c>
      <c r="L795" s="15" t="n">
        <v>1</v>
      </c>
      <c r="M795" s="18" t="n">
        <v>0.05</v>
      </c>
      <c r="N795" s="17" t="n">
        <v>3245.4</v>
      </c>
      <c r="O795" s="17" t="n">
        <f aca="false">K795*L795*(1-M795)</f>
        <v>3835.701</v>
      </c>
      <c r="P795" s="17" t="n">
        <f aca="false">N795*L795</f>
        <v>3245.4</v>
      </c>
      <c r="Q795" s="17" t="n">
        <f aca="false">O795-P795</f>
        <v>590.301</v>
      </c>
      <c r="R795" s="15" t="s">
        <v>46</v>
      </c>
      <c r="S795" s="15" t="s">
        <v>47</v>
      </c>
    </row>
    <row r="796" customFormat="false" ht="15" hidden="false" customHeight="true" outlineLevel="0" collapsed="false">
      <c r="A796" s="11" t="s">
        <v>932</v>
      </c>
      <c r="B796" s="12" t="n">
        <v>45835</v>
      </c>
      <c r="C796" s="11" t="s">
        <v>65</v>
      </c>
      <c r="D796" s="11" t="s">
        <v>149</v>
      </c>
      <c r="E796" s="11" t="s">
        <v>150</v>
      </c>
      <c r="F796" s="11" t="s">
        <v>68</v>
      </c>
      <c r="G796" s="11" t="s">
        <v>77</v>
      </c>
      <c r="H796" s="11" t="s">
        <v>53</v>
      </c>
      <c r="I796" s="11" t="s">
        <v>54</v>
      </c>
      <c r="J796" s="11" t="s">
        <v>55</v>
      </c>
      <c r="K796" s="13" t="n">
        <v>27.18</v>
      </c>
      <c r="L796" s="11" t="n">
        <v>92</v>
      </c>
      <c r="M796" s="14" t="n">
        <v>0</v>
      </c>
      <c r="N796" s="13" t="n">
        <v>18.79</v>
      </c>
      <c r="O796" s="13" t="n">
        <f aca="false">K796*L796*(1-M796)</f>
        <v>2500.56</v>
      </c>
      <c r="P796" s="13" t="n">
        <f aca="false">N796*L796</f>
        <v>1728.68</v>
      </c>
      <c r="Q796" s="13" t="n">
        <f aca="false">O796-P796</f>
        <v>771.88</v>
      </c>
      <c r="R796" s="11" t="s">
        <v>46</v>
      </c>
      <c r="S796" s="11" t="s">
        <v>47</v>
      </c>
    </row>
    <row r="797" customFormat="false" ht="15" hidden="false" customHeight="true" outlineLevel="0" collapsed="false">
      <c r="A797" s="15" t="s">
        <v>933</v>
      </c>
      <c r="B797" s="16" t="n">
        <v>45835</v>
      </c>
      <c r="C797" s="15" t="s">
        <v>57</v>
      </c>
      <c r="D797" s="15" t="s">
        <v>103</v>
      </c>
      <c r="E797" s="15" t="s">
        <v>104</v>
      </c>
      <c r="F797" s="15" t="s">
        <v>68</v>
      </c>
      <c r="G797" s="15" t="s">
        <v>126</v>
      </c>
      <c r="H797" s="15" t="s">
        <v>78</v>
      </c>
      <c r="I797" s="15" t="s">
        <v>79</v>
      </c>
      <c r="J797" s="15" t="s">
        <v>242</v>
      </c>
      <c r="K797" s="17" t="n">
        <v>3863.02</v>
      </c>
      <c r="L797" s="15" t="n">
        <v>2</v>
      </c>
      <c r="M797" s="18" t="n">
        <v>0</v>
      </c>
      <c r="N797" s="17" t="n">
        <v>3369.11</v>
      </c>
      <c r="O797" s="17" t="n">
        <f aca="false">K797*L797*(1-M797)</f>
        <v>7726.04</v>
      </c>
      <c r="P797" s="17" t="n">
        <f aca="false">N797*L797</f>
        <v>6738.22</v>
      </c>
      <c r="Q797" s="17" t="n">
        <f aca="false">O797-P797</f>
        <v>987.82</v>
      </c>
      <c r="R797" s="15" t="s">
        <v>46</v>
      </c>
      <c r="S797" s="15" t="s">
        <v>47</v>
      </c>
    </row>
    <row r="798" customFormat="false" ht="15" hidden="false" customHeight="true" outlineLevel="0" collapsed="false">
      <c r="A798" s="11" t="s">
        <v>934</v>
      </c>
      <c r="B798" s="12" t="n">
        <v>45835</v>
      </c>
      <c r="C798" s="11" t="s">
        <v>65</v>
      </c>
      <c r="D798" s="11" t="s">
        <v>82</v>
      </c>
      <c r="E798" s="11" t="s">
        <v>83</v>
      </c>
      <c r="F798" s="11" t="s">
        <v>109</v>
      </c>
      <c r="G798" s="11" t="s">
        <v>52</v>
      </c>
      <c r="H798" s="11" t="s">
        <v>43</v>
      </c>
      <c r="I798" s="11" t="s">
        <v>61</v>
      </c>
      <c r="J798" s="11" t="s">
        <v>147</v>
      </c>
      <c r="K798" s="13" t="n">
        <v>350.83</v>
      </c>
      <c r="L798" s="11" t="n">
        <v>9</v>
      </c>
      <c r="M798" s="14" t="n">
        <v>0.15</v>
      </c>
      <c r="N798" s="13" t="n">
        <v>139.09</v>
      </c>
      <c r="O798" s="13" t="n">
        <f aca="false">K798*L798*(1-M798)</f>
        <v>2683.8495</v>
      </c>
      <c r="P798" s="13" t="n">
        <f aca="false">N798*L798</f>
        <v>1251.81</v>
      </c>
      <c r="Q798" s="13" t="n">
        <f aca="false">O798-P798</f>
        <v>1432.0395</v>
      </c>
      <c r="R798" s="11" t="s">
        <v>167</v>
      </c>
      <c r="S798" s="11" t="s">
        <v>47</v>
      </c>
    </row>
    <row r="799" customFormat="false" ht="15" hidden="false" customHeight="true" outlineLevel="0" collapsed="false">
      <c r="A799" s="15" t="s">
        <v>935</v>
      </c>
      <c r="B799" s="16" t="n">
        <v>45836</v>
      </c>
      <c r="C799" s="15" t="s">
        <v>49</v>
      </c>
      <c r="D799" s="15" t="s">
        <v>152</v>
      </c>
      <c r="E799" s="15" t="s">
        <v>152</v>
      </c>
      <c r="F799" s="15" t="s">
        <v>177</v>
      </c>
      <c r="G799" s="15" t="s">
        <v>130</v>
      </c>
      <c r="H799" s="15" t="s">
        <v>78</v>
      </c>
      <c r="I799" s="15" t="s">
        <v>143</v>
      </c>
      <c r="J799" s="15" t="s">
        <v>144</v>
      </c>
      <c r="K799" s="17" t="n">
        <v>1333.5</v>
      </c>
      <c r="L799" s="15" t="n">
        <v>13</v>
      </c>
      <c r="M799" s="18" t="n">
        <v>0.1</v>
      </c>
      <c r="N799" s="17" t="n">
        <v>1042.09</v>
      </c>
      <c r="O799" s="17" t="n">
        <f aca="false">K799*L799*(1-M799)</f>
        <v>15601.95</v>
      </c>
      <c r="P799" s="17" t="n">
        <f aca="false">N799*L799</f>
        <v>13547.17</v>
      </c>
      <c r="Q799" s="17" t="n">
        <f aca="false">O799-P799</f>
        <v>2054.78</v>
      </c>
      <c r="R799" s="15" t="s">
        <v>114</v>
      </c>
      <c r="S799" s="15" t="s">
        <v>47</v>
      </c>
    </row>
    <row r="800" customFormat="false" ht="15" hidden="false" customHeight="true" outlineLevel="0" collapsed="false">
      <c r="A800" s="11" t="s">
        <v>936</v>
      </c>
      <c r="B800" s="12" t="n">
        <v>45836</v>
      </c>
      <c r="C800" s="11" t="s">
        <v>49</v>
      </c>
      <c r="D800" s="11" t="s">
        <v>97</v>
      </c>
      <c r="E800" s="11" t="s">
        <v>108</v>
      </c>
      <c r="F800" s="11" t="s">
        <v>177</v>
      </c>
      <c r="G800" s="11" t="s">
        <v>52</v>
      </c>
      <c r="H800" s="11" t="s">
        <v>84</v>
      </c>
      <c r="I800" s="11" t="s">
        <v>85</v>
      </c>
      <c r="J800" s="11" t="s">
        <v>86</v>
      </c>
      <c r="K800" s="13" t="n">
        <v>423.82</v>
      </c>
      <c r="L800" s="11" t="n">
        <v>9</v>
      </c>
      <c r="M800" s="14" t="n">
        <v>0</v>
      </c>
      <c r="N800" s="13" t="n">
        <v>316.09</v>
      </c>
      <c r="O800" s="13" t="n">
        <f aca="false">K800*L800*(1-M800)</f>
        <v>3814.38</v>
      </c>
      <c r="P800" s="13" t="n">
        <f aca="false">N800*L800</f>
        <v>2844.81</v>
      </c>
      <c r="Q800" s="13" t="n">
        <f aca="false">O800-P800</f>
        <v>969.57</v>
      </c>
      <c r="R800" s="11" t="s">
        <v>63</v>
      </c>
      <c r="S800" s="11" t="s">
        <v>187</v>
      </c>
    </row>
    <row r="801" customFormat="false" ht="15" hidden="false" customHeight="true" outlineLevel="0" collapsed="false">
      <c r="A801" s="15" t="s">
        <v>937</v>
      </c>
      <c r="B801" s="16" t="n">
        <v>45837</v>
      </c>
      <c r="C801" s="15" t="s">
        <v>38</v>
      </c>
      <c r="D801" s="15" t="s">
        <v>92</v>
      </c>
      <c r="E801" s="15" t="s">
        <v>93</v>
      </c>
      <c r="F801" s="15" t="s">
        <v>60</v>
      </c>
      <c r="G801" s="15" t="s">
        <v>52</v>
      </c>
      <c r="H801" s="15" t="s">
        <v>53</v>
      </c>
      <c r="I801" s="15" t="s">
        <v>94</v>
      </c>
      <c r="J801" s="15" t="s">
        <v>95</v>
      </c>
      <c r="K801" s="17" t="n">
        <v>24.93</v>
      </c>
      <c r="L801" s="15" t="n">
        <v>107</v>
      </c>
      <c r="M801" s="18" t="n">
        <v>0</v>
      </c>
      <c r="N801" s="17" t="n">
        <v>16.25</v>
      </c>
      <c r="O801" s="17" t="n">
        <f aca="false">K801*L801*(1-M801)</f>
        <v>2667.51</v>
      </c>
      <c r="P801" s="17" t="n">
        <f aca="false">N801*L801</f>
        <v>1738.75</v>
      </c>
      <c r="Q801" s="17" t="n">
        <f aca="false">O801-P801</f>
        <v>928.76</v>
      </c>
      <c r="R801" s="15" t="s">
        <v>71</v>
      </c>
      <c r="S801" s="15" t="s">
        <v>47</v>
      </c>
    </row>
    <row r="802" customFormat="false" ht="15" hidden="false" customHeight="true" outlineLevel="0" collapsed="false">
      <c r="A802" s="11" t="s">
        <v>938</v>
      </c>
      <c r="B802" s="12" t="n">
        <v>45838</v>
      </c>
      <c r="C802" s="11" t="s">
        <v>49</v>
      </c>
      <c r="D802" s="11" t="s">
        <v>50</v>
      </c>
      <c r="E802" s="11" t="s">
        <v>50</v>
      </c>
      <c r="F802" s="11" t="s">
        <v>99</v>
      </c>
      <c r="G802" s="11" t="s">
        <v>52</v>
      </c>
      <c r="H802" s="11" t="s">
        <v>53</v>
      </c>
      <c r="I802" s="11" t="s">
        <v>94</v>
      </c>
      <c r="J802" s="11" t="s">
        <v>95</v>
      </c>
      <c r="K802" s="13" t="n">
        <v>19.21</v>
      </c>
      <c r="L802" s="11" t="n">
        <v>53</v>
      </c>
      <c r="M802" s="14" t="n">
        <v>0</v>
      </c>
      <c r="N802" s="13" t="n">
        <v>11.88</v>
      </c>
      <c r="O802" s="13" t="n">
        <f aca="false">K802*L802*(1-M802)</f>
        <v>1018.13</v>
      </c>
      <c r="P802" s="13" t="n">
        <f aca="false">N802*L802</f>
        <v>629.64</v>
      </c>
      <c r="Q802" s="13" t="n">
        <f aca="false">O802-P802</f>
        <v>388.49</v>
      </c>
      <c r="R802" s="11" t="s">
        <v>46</v>
      </c>
      <c r="S802" s="11" t="s">
        <v>72</v>
      </c>
    </row>
    <row r="803" customFormat="false" ht="15" hidden="false" customHeight="true" outlineLevel="0" collapsed="false">
      <c r="A803" s="15" t="s">
        <v>939</v>
      </c>
      <c r="B803" s="16" t="n">
        <v>45838</v>
      </c>
      <c r="C803" s="15" t="s">
        <v>49</v>
      </c>
      <c r="D803" s="15" t="s">
        <v>97</v>
      </c>
      <c r="E803" s="15" t="s">
        <v>108</v>
      </c>
      <c r="F803" s="15" t="s">
        <v>123</v>
      </c>
      <c r="G803" s="15" t="s">
        <v>77</v>
      </c>
      <c r="H803" s="15" t="s">
        <v>53</v>
      </c>
      <c r="I803" s="15" t="s">
        <v>69</v>
      </c>
      <c r="J803" s="15" t="s">
        <v>128</v>
      </c>
      <c r="K803" s="17" t="n">
        <v>17.01</v>
      </c>
      <c r="L803" s="15" t="n">
        <v>73</v>
      </c>
      <c r="M803" s="18" t="n">
        <v>0</v>
      </c>
      <c r="N803" s="17" t="n">
        <v>12.34</v>
      </c>
      <c r="O803" s="17" t="n">
        <f aca="false">K803*L803*(1-M803)</f>
        <v>1241.73</v>
      </c>
      <c r="P803" s="17" t="n">
        <f aca="false">N803*L803</f>
        <v>900.82</v>
      </c>
      <c r="Q803" s="17" t="n">
        <f aca="false">O803-P803</f>
        <v>340.91</v>
      </c>
      <c r="R803" s="15" t="s">
        <v>46</v>
      </c>
      <c r="S803" s="15" t="s">
        <v>47</v>
      </c>
    </row>
    <row r="804" customFormat="false" ht="15" hidden="false" customHeight="true" outlineLevel="0" collapsed="false">
      <c r="A804" s="11" t="s">
        <v>940</v>
      </c>
      <c r="B804" s="12" t="n">
        <v>45838</v>
      </c>
      <c r="C804" s="11" t="s">
        <v>38</v>
      </c>
      <c r="D804" s="11" t="s">
        <v>92</v>
      </c>
      <c r="E804" s="11" t="s">
        <v>93</v>
      </c>
      <c r="F804" s="11" t="s">
        <v>41</v>
      </c>
      <c r="G804" s="11" t="s">
        <v>42</v>
      </c>
      <c r="H804" s="11" t="s">
        <v>53</v>
      </c>
      <c r="I804" s="11" t="s">
        <v>94</v>
      </c>
      <c r="J804" s="11" t="s">
        <v>95</v>
      </c>
      <c r="K804" s="13" t="n">
        <v>34.57</v>
      </c>
      <c r="L804" s="11" t="n">
        <v>12</v>
      </c>
      <c r="M804" s="14" t="n">
        <v>0</v>
      </c>
      <c r="N804" s="13" t="n">
        <v>20.33</v>
      </c>
      <c r="O804" s="13" t="n">
        <f aca="false">K804*L804*(1-M804)</f>
        <v>414.84</v>
      </c>
      <c r="P804" s="13" t="n">
        <f aca="false">N804*L804</f>
        <v>243.96</v>
      </c>
      <c r="Q804" s="13" t="n">
        <f aca="false">O804-P804</f>
        <v>170.88</v>
      </c>
      <c r="R804" s="11" t="s">
        <v>167</v>
      </c>
      <c r="S804" s="11" t="s">
        <v>47</v>
      </c>
    </row>
    <row r="805" customFormat="false" ht="15" hidden="false" customHeight="true" outlineLevel="0" collapsed="false">
      <c r="A805" s="15" t="s">
        <v>941</v>
      </c>
      <c r="B805" s="16" t="n">
        <v>45838</v>
      </c>
      <c r="C805" s="15" t="s">
        <v>49</v>
      </c>
      <c r="D805" s="15" t="s">
        <v>97</v>
      </c>
      <c r="E805" s="15" t="s">
        <v>108</v>
      </c>
      <c r="F805" s="15" t="s">
        <v>60</v>
      </c>
      <c r="G805" s="15" t="s">
        <v>126</v>
      </c>
      <c r="H805" s="15" t="s">
        <v>78</v>
      </c>
      <c r="I805" s="15" t="s">
        <v>120</v>
      </c>
      <c r="J805" s="15" t="s">
        <v>235</v>
      </c>
      <c r="K805" s="17" t="n">
        <v>90.27</v>
      </c>
      <c r="L805" s="15" t="n">
        <v>115</v>
      </c>
      <c r="M805" s="18" t="n">
        <v>0.05</v>
      </c>
      <c r="N805" s="17" t="n">
        <v>67.33</v>
      </c>
      <c r="O805" s="17" t="n">
        <f aca="false">K805*L805*(1-M805)</f>
        <v>9861.9975</v>
      </c>
      <c r="P805" s="17" t="n">
        <f aca="false">N805*L805</f>
        <v>7742.95</v>
      </c>
      <c r="Q805" s="17" t="n">
        <f aca="false">O805-P805</f>
        <v>2119.0475</v>
      </c>
      <c r="R805" s="15" t="s">
        <v>46</v>
      </c>
      <c r="S805" s="15" t="s">
        <v>124</v>
      </c>
    </row>
    <row r="806" customFormat="false" ht="15" hidden="false" customHeight="true" outlineLevel="0" collapsed="false">
      <c r="A806" s="11" t="s">
        <v>942</v>
      </c>
      <c r="B806" s="12" t="n">
        <v>45839</v>
      </c>
      <c r="C806" s="11" t="s">
        <v>65</v>
      </c>
      <c r="D806" s="11" t="s">
        <v>82</v>
      </c>
      <c r="E806" s="11" t="s">
        <v>83</v>
      </c>
      <c r="F806" s="11" t="s">
        <v>135</v>
      </c>
      <c r="G806" s="11" t="s">
        <v>130</v>
      </c>
      <c r="H806" s="11" t="s">
        <v>84</v>
      </c>
      <c r="I806" s="11" t="s">
        <v>85</v>
      </c>
      <c r="J806" s="11" t="s">
        <v>90</v>
      </c>
      <c r="K806" s="13" t="n">
        <v>649.11</v>
      </c>
      <c r="L806" s="11" t="n">
        <v>13</v>
      </c>
      <c r="M806" s="14" t="n">
        <v>0.15</v>
      </c>
      <c r="N806" s="13" t="n">
        <v>502.6</v>
      </c>
      <c r="O806" s="13" t="n">
        <f aca="false">K806*L806*(1-M806)</f>
        <v>7172.6655</v>
      </c>
      <c r="P806" s="13" t="n">
        <f aca="false">N806*L806</f>
        <v>6533.8</v>
      </c>
      <c r="Q806" s="13" t="n">
        <f aca="false">O806-P806</f>
        <v>638.8655</v>
      </c>
      <c r="R806" s="11" t="s">
        <v>114</v>
      </c>
      <c r="S806" s="11" t="s">
        <v>47</v>
      </c>
    </row>
    <row r="807" customFormat="false" ht="15" hidden="false" customHeight="true" outlineLevel="0" collapsed="false">
      <c r="A807" s="15" t="s">
        <v>943</v>
      </c>
      <c r="B807" s="16" t="n">
        <v>45839</v>
      </c>
      <c r="C807" s="15" t="s">
        <v>49</v>
      </c>
      <c r="D807" s="15" t="s">
        <v>97</v>
      </c>
      <c r="E807" s="15" t="s">
        <v>108</v>
      </c>
      <c r="F807" s="15" t="s">
        <v>177</v>
      </c>
      <c r="G807" s="15" t="s">
        <v>42</v>
      </c>
      <c r="H807" s="15" t="s">
        <v>53</v>
      </c>
      <c r="I807" s="15" t="s">
        <v>94</v>
      </c>
      <c r="J807" s="15" t="s">
        <v>95</v>
      </c>
      <c r="K807" s="17" t="n">
        <v>28.31</v>
      </c>
      <c r="L807" s="15" t="n">
        <v>59</v>
      </c>
      <c r="M807" s="18" t="n">
        <v>0.05</v>
      </c>
      <c r="N807" s="17" t="n">
        <v>16.06</v>
      </c>
      <c r="O807" s="17" t="n">
        <f aca="false">K807*L807*(1-M807)</f>
        <v>1586.7755</v>
      </c>
      <c r="P807" s="17" t="n">
        <f aca="false">N807*L807</f>
        <v>947.54</v>
      </c>
      <c r="Q807" s="17" t="n">
        <f aca="false">O807-P807</f>
        <v>639.2355</v>
      </c>
      <c r="R807" s="15" t="s">
        <v>46</v>
      </c>
      <c r="S807" s="15" t="s">
        <v>47</v>
      </c>
    </row>
    <row r="808" customFormat="false" ht="15" hidden="false" customHeight="true" outlineLevel="0" collapsed="false">
      <c r="A808" s="11" t="s">
        <v>944</v>
      </c>
      <c r="B808" s="12" t="n">
        <v>45839</v>
      </c>
      <c r="C808" s="11" t="s">
        <v>65</v>
      </c>
      <c r="D808" s="11" t="s">
        <v>82</v>
      </c>
      <c r="E808" s="11" t="s">
        <v>83</v>
      </c>
      <c r="F808" s="11" t="s">
        <v>51</v>
      </c>
      <c r="G808" s="11" t="s">
        <v>130</v>
      </c>
      <c r="H808" s="11" t="s">
        <v>53</v>
      </c>
      <c r="I808" s="11" t="s">
        <v>69</v>
      </c>
      <c r="J808" s="11" t="s">
        <v>128</v>
      </c>
      <c r="K808" s="13" t="n">
        <v>19.26</v>
      </c>
      <c r="L808" s="11" t="n">
        <v>81</v>
      </c>
      <c r="M808" s="14" t="n">
        <v>0.1</v>
      </c>
      <c r="N808" s="13" t="n">
        <v>14.14</v>
      </c>
      <c r="O808" s="13" t="n">
        <f aca="false">K808*L808*(1-M808)</f>
        <v>1404.054</v>
      </c>
      <c r="P808" s="13" t="n">
        <f aca="false">N808*L808</f>
        <v>1145.34</v>
      </c>
      <c r="Q808" s="13" t="n">
        <f aca="false">O808-P808</f>
        <v>258.714</v>
      </c>
      <c r="R808" s="11" t="s">
        <v>46</v>
      </c>
      <c r="S808" s="11" t="s">
        <v>47</v>
      </c>
    </row>
    <row r="809" customFormat="false" ht="15" hidden="false" customHeight="true" outlineLevel="0" collapsed="false">
      <c r="A809" s="15" t="s">
        <v>945</v>
      </c>
      <c r="B809" s="16" t="n">
        <v>45840</v>
      </c>
      <c r="C809" s="15" t="s">
        <v>49</v>
      </c>
      <c r="D809" s="15" t="s">
        <v>97</v>
      </c>
      <c r="E809" s="15" t="s">
        <v>98</v>
      </c>
      <c r="F809" s="15" t="s">
        <v>109</v>
      </c>
      <c r="G809" s="15" t="s">
        <v>77</v>
      </c>
      <c r="H809" s="15" t="s">
        <v>53</v>
      </c>
      <c r="I809" s="15" t="s">
        <v>69</v>
      </c>
      <c r="J809" s="15" t="s">
        <v>128</v>
      </c>
      <c r="K809" s="17" t="n">
        <v>18.44</v>
      </c>
      <c r="L809" s="15" t="n">
        <v>160</v>
      </c>
      <c r="M809" s="18" t="n">
        <v>0.1</v>
      </c>
      <c r="N809" s="17" t="n">
        <v>12.67</v>
      </c>
      <c r="O809" s="17" t="n">
        <f aca="false">K809*L809*(1-M809)</f>
        <v>2655.36</v>
      </c>
      <c r="P809" s="17" t="n">
        <f aca="false">N809*L809</f>
        <v>2027.2</v>
      </c>
      <c r="Q809" s="17" t="n">
        <f aca="false">O809-P809</f>
        <v>628.16</v>
      </c>
      <c r="R809" s="15" t="s">
        <v>63</v>
      </c>
      <c r="S809" s="15" t="s">
        <v>72</v>
      </c>
    </row>
    <row r="810" customFormat="false" ht="15" hidden="false" customHeight="true" outlineLevel="0" collapsed="false">
      <c r="A810" s="11" t="s">
        <v>946</v>
      </c>
      <c r="B810" s="12" t="n">
        <v>45840</v>
      </c>
      <c r="C810" s="11" t="s">
        <v>49</v>
      </c>
      <c r="D810" s="11" t="s">
        <v>97</v>
      </c>
      <c r="E810" s="11" t="s">
        <v>112</v>
      </c>
      <c r="F810" s="11" t="s">
        <v>99</v>
      </c>
      <c r="G810" s="11" t="s">
        <v>77</v>
      </c>
      <c r="H810" s="11" t="s">
        <v>78</v>
      </c>
      <c r="I810" s="11" t="s">
        <v>143</v>
      </c>
      <c r="J810" s="11" t="s">
        <v>144</v>
      </c>
      <c r="K810" s="13" t="n">
        <v>1246.47</v>
      </c>
      <c r="L810" s="11" t="n">
        <v>3</v>
      </c>
      <c r="M810" s="14" t="n">
        <v>0.1</v>
      </c>
      <c r="N810" s="13" t="n">
        <v>1051.12</v>
      </c>
      <c r="O810" s="13" t="n">
        <f aca="false">K810*L810*(1-M810)</f>
        <v>3365.469</v>
      </c>
      <c r="P810" s="13" t="n">
        <f aca="false">N810*L810</f>
        <v>3153.36</v>
      </c>
      <c r="Q810" s="13" t="n">
        <f aca="false">O810-P810</f>
        <v>212.109</v>
      </c>
      <c r="R810" s="11" t="s">
        <v>63</v>
      </c>
      <c r="S810" s="11" t="s">
        <v>47</v>
      </c>
    </row>
    <row r="811" customFormat="false" ht="15" hidden="false" customHeight="true" outlineLevel="0" collapsed="false">
      <c r="A811" s="15" t="s">
        <v>947</v>
      </c>
      <c r="B811" s="16" t="n">
        <v>45840</v>
      </c>
      <c r="C811" s="15" t="s">
        <v>49</v>
      </c>
      <c r="D811" s="15" t="s">
        <v>50</v>
      </c>
      <c r="E811" s="15" t="s">
        <v>50</v>
      </c>
      <c r="F811" s="15" t="s">
        <v>68</v>
      </c>
      <c r="G811" s="15" t="s">
        <v>77</v>
      </c>
      <c r="H811" s="15" t="s">
        <v>53</v>
      </c>
      <c r="I811" s="15" t="s">
        <v>94</v>
      </c>
      <c r="J811" s="15" t="s">
        <v>131</v>
      </c>
      <c r="K811" s="17" t="n">
        <v>50.17</v>
      </c>
      <c r="L811" s="15" t="n">
        <v>10</v>
      </c>
      <c r="M811" s="18" t="n">
        <v>0</v>
      </c>
      <c r="N811" s="17" t="n">
        <v>30.09</v>
      </c>
      <c r="O811" s="17" t="n">
        <f aca="false">K811*L811*(1-M811)</f>
        <v>501.7</v>
      </c>
      <c r="P811" s="17" t="n">
        <f aca="false">N811*L811</f>
        <v>300.9</v>
      </c>
      <c r="Q811" s="17" t="n">
        <f aca="false">O811-P811</f>
        <v>200.8</v>
      </c>
      <c r="R811" s="15" t="s">
        <v>46</v>
      </c>
      <c r="S811" s="15" t="s">
        <v>47</v>
      </c>
    </row>
    <row r="812" customFormat="false" ht="15" hidden="false" customHeight="true" outlineLevel="0" collapsed="false">
      <c r="A812" s="11" t="s">
        <v>948</v>
      </c>
      <c r="B812" s="12" t="n">
        <v>45841</v>
      </c>
      <c r="C812" s="11" t="s">
        <v>57</v>
      </c>
      <c r="D812" s="11" t="s">
        <v>103</v>
      </c>
      <c r="E812" s="11" t="s">
        <v>104</v>
      </c>
      <c r="F812" s="11" t="s">
        <v>99</v>
      </c>
      <c r="G812" s="11" t="s">
        <v>42</v>
      </c>
      <c r="H812" s="11" t="s">
        <v>53</v>
      </c>
      <c r="I812" s="11" t="s">
        <v>94</v>
      </c>
      <c r="J812" s="11" t="s">
        <v>95</v>
      </c>
      <c r="K812" s="13" t="n">
        <v>25.75</v>
      </c>
      <c r="L812" s="11" t="n">
        <v>74</v>
      </c>
      <c r="M812" s="14" t="n">
        <v>0</v>
      </c>
      <c r="N812" s="13" t="n">
        <v>16.53</v>
      </c>
      <c r="O812" s="13" t="n">
        <f aca="false">K812*L812*(1-M812)</f>
        <v>1905.5</v>
      </c>
      <c r="P812" s="13" t="n">
        <f aca="false">N812*L812</f>
        <v>1223.22</v>
      </c>
      <c r="Q812" s="13" t="n">
        <f aca="false">O812-P812</f>
        <v>682.28</v>
      </c>
      <c r="R812" s="11" t="s">
        <v>114</v>
      </c>
      <c r="S812" s="11" t="s">
        <v>47</v>
      </c>
    </row>
    <row r="813" customFormat="false" ht="15" hidden="false" customHeight="true" outlineLevel="0" collapsed="false">
      <c r="A813" s="15" t="s">
        <v>949</v>
      </c>
      <c r="B813" s="16" t="n">
        <v>45842</v>
      </c>
      <c r="C813" s="15" t="s">
        <v>49</v>
      </c>
      <c r="D813" s="15" t="s">
        <v>97</v>
      </c>
      <c r="E813" s="15" t="s">
        <v>98</v>
      </c>
      <c r="F813" s="15" t="s">
        <v>68</v>
      </c>
      <c r="G813" s="15" t="s">
        <v>126</v>
      </c>
      <c r="H813" s="15" t="s">
        <v>53</v>
      </c>
      <c r="I813" s="15" t="s">
        <v>69</v>
      </c>
      <c r="J813" s="15" t="s">
        <v>70</v>
      </c>
      <c r="K813" s="17" t="n">
        <v>32</v>
      </c>
      <c r="L813" s="15" t="n">
        <v>85</v>
      </c>
      <c r="M813" s="18" t="n">
        <v>0.05</v>
      </c>
      <c r="N813" s="17" t="n">
        <v>23.63</v>
      </c>
      <c r="O813" s="17" t="n">
        <f aca="false">K813*L813*(1-M813)</f>
        <v>2584</v>
      </c>
      <c r="P813" s="17" t="n">
        <f aca="false">N813*L813</f>
        <v>2008.55</v>
      </c>
      <c r="Q813" s="17" t="n">
        <f aca="false">O813-P813</f>
        <v>575.45</v>
      </c>
      <c r="R813" s="15" t="s">
        <v>114</v>
      </c>
      <c r="S813" s="15" t="s">
        <v>47</v>
      </c>
    </row>
    <row r="814" customFormat="false" ht="15" hidden="false" customHeight="true" outlineLevel="0" collapsed="false">
      <c r="A814" s="11" t="s">
        <v>950</v>
      </c>
      <c r="B814" s="12" t="n">
        <v>45842</v>
      </c>
      <c r="C814" s="11" t="s">
        <v>38</v>
      </c>
      <c r="D814" s="11" t="s">
        <v>39</v>
      </c>
      <c r="E814" s="11" t="s">
        <v>40</v>
      </c>
      <c r="F814" s="11" t="s">
        <v>135</v>
      </c>
      <c r="G814" s="11" t="s">
        <v>126</v>
      </c>
      <c r="H814" s="11" t="s">
        <v>53</v>
      </c>
      <c r="I814" s="11" t="s">
        <v>69</v>
      </c>
      <c r="J814" s="11" t="s">
        <v>128</v>
      </c>
      <c r="K814" s="13" t="n">
        <v>16.3</v>
      </c>
      <c r="L814" s="11" t="n">
        <v>189</v>
      </c>
      <c r="M814" s="14" t="n">
        <v>0.15</v>
      </c>
      <c r="N814" s="13" t="n">
        <v>11.56</v>
      </c>
      <c r="O814" s="13" t="n">
        <f aca="false">K814*L814*(1-M814)</f>
        <v>2618.595</v>
      </c>
      <c r="P814" s="13" t="n">
        <f aca="false">N814*L814</f>
        <v>2184.84</v>
      </c>
      <c r="Q814" s="13" t="n">
        <f aca="false">O814-P814</f>
        <v>433.755</v>
      </c>
      <c r="R814" s="11" t="s">
        <v>63</v>
      </c>
      <c r="S814" s="11" t="s">
        <v>72</v>
      </c>
    </row>
    <row r="815" customFormat="false" ht="15" hidden="false" customHeight="true" outlineLevel="0" collapsed="false">
      <c r="A815" s="15" t="s">
        <v>951</v>
      </c>
      <c r="B815" s="16" t="n">
        <v>45842</v>
      </c>
      <c r="C815" s="15" t="s">
        <v>57</v>
      </c>
      <c r="D815" s="15" t="s">
        <v>162</v>
      </c>
      <c r="E815" s="15" t="s">
        <v>163</v>
      </c>
      <c r="F815" s="15" t="s">
        <v>109</v>
      </c>
      <c r="G815" s="15" t="s">
        <v>42</v>
      </c>
      <c r="H815" s="15" t="s">
        <v>53</v>
      </c>
      <c r="I815" s="15" t="s">
        <v>54</v>
      </c>
      <c r="J815" s="15" t="s">
        <v>113</v>
      </c>
      <c r="K815" s="17" t="n">
        <v>11.28</v>
      </c>
      <c r="L815" s="15" t="n">
        <v>157</v>
      </c>
      <c r="M815" s="18" t="n">
        <v>0.05</v>
      </c>
      <c r="N815" s="17" t="n">
        <v>7.84</v>
      </c>
      <c r="O815" s="17" t="n">
        <f aca="false">K815*L815*(1-M815)</f>
        <v>1682.412</v>
      </c>
      <c r="P815" s="17" t="n">
        <f aca="false">N815*L815</f>
        <v>1230.88</v>
      </c>
      <c r="Q815" s="17" t="n">
        <f aca="false">O815-P815</f>
        <v>451.532</v>
      </c>
      <c r="R815" s="15" t="s">
        <v>114</v>
      </c>
      <c r="S815" s="15" t="s">
        <v>47</v>
      </c>
    </row>
    <row r="816" customFormat="false" ht="15" hidden="false" customHeight="true" outlineLevel="0" collapsed="false">
      <c r="A816" s="11" t="s">
        <v>952</v>
      </c>
      <c r="B816" s="12" t="n">
        <v>45842</v>
      </c>
      <c r="C816" s="11" t="s">
        <v>57</v>
      </c>
      <c r="D816" s="11" t="s">
        <v>58</v>
      </c>
      <c r="E816" s="11" t="s">
        <v>59</v>
      </c>
      <c r="F816" s="11" t="s">
        <v>177</v>
      </c>
      <c r="G816" s="11" t="s">
        <v>42</v>
      </c>
      <c r="H816" s="11" t="s">
        <v>78</v>
      </c>
      <c r="I816" s="11" t="s">
        <v>154</v>
      </c>
      <c r="J816" s="11" t="s">
        <v>186</v>
      </c>
      <c r="K816" s="13" t="n">
        <v>1135.68</v>
      </c>
      <c r="L816" s="11" t="n">
        <v>4</v>
      </c>
      <c r="M816" s="14" t="n">
        <v>0.05</v>
      </c>
      <c r="N816" s="13" t="n">
        <v>902.7</v>
      </c>
      <c r="O816" s="13" t="n">
        <f aca="false">K816*L816*(1-M816)</f>
        <v>4315.584</v>
      </c>
      <c r="P816" s="13" t="n">
        <f aca="false">N816*L816</f>
        <v>3610.8</v>
      </c>
      <c r="Q816" s="13" t="n">
        <f aca="false">O816-P816</f>
        <v>704.784</v>
      </c>
      <c r="R816" s="11" t="s">
        <v>46</v>
      </c>
      <c r="S816" s="11" t="s">
        <v>47</v>
      </c>
    </row>
    <row r="817" customFormat="false" ht="15" hidden="false" customHeight="true" outlineLevel="0" collapsed="false">
      <c r="A817" s="15" t="s">
        <v>953</v>
      </c>
      <c r="B817" s="16" t="n">
        <v>45843</v>
      </c>
      <c r="C817" s="15" t="s">
        <v>57</v>
      </c>
      <c r="D817" s="15" t="s">
        <v>103</v>
      </c>
      <c r="E817" s="15" t="s">
        <v>104</v>
      </c>
      <c r="F817" s="15" t="s">
        <v>99</v>
      </c>
      <c r="G817" s="15" t="s">
        <v>77</v>
      </c>
      <c r="H817" s="15" t="s">
        <v>84</v>
      </c>
      <c r="I817" s="15" t="s">
        <v>85</v>
      </c>
      <c r="J817" s="15" t="s">
        <v>86</v>
      </c>
      <c r="K817" s="17" t="n">
        <v>380.44</v>
      </c>
      <c r="L817" s="15" t="n">
        <v>7</v>
      </c>
      <c r="M817" s="18" t="n">
        <v>0.1</v>
      </c>
      <c r="N817" s="17" t="n">
        <v>277.46</v>
      </c>
      <c r="O817" s="17" t="n">
        <f aca="false">K817*L817*(1-M817)</f>
        <v>2396.772</v>
      </c>
      <c r="P817" s="17" t="n">
        <f aca="false">N817*L817</f>
        <v>1942.22</v>
      </c>
      <c r="Q817" s="17" t="n">
        <f aca="false">O817-P817</f>
        <v>454.552</v>
      </c>
      <c r="R817" s="15" t="s">
        <v>46</v>
      </c>
      <c r="S817" s="15" t="s">
        <v>47</v>
      </c>
    </row>
    <row r="818" customFormat="false" ht="15" hidden="false" customHeight="true" outlineLevel="0" collapsed="false">
      <c r="A818" s="11" t="s">
        <v>954</v>
      </c>
      <c r="B818" s="12" t="n">
        <v>45843</v>
      </c>
      <c r="C818" s="11" t="s">
        <v>49</v>
      </c>
      <c r="D818" s="11" t="s">
        <v>97</v>
      </c>
      <c r="E818" s="11" t="s">
        <v>112</v>
      </c>
      <c r="F818" s="11" t="s">
        <v>51</v>
      </c>
      <c r="G818" s="11" t="s">
        <v>42</v>
      </c>
      <c r="H818" s="11" t="s">
        <v>78</v>
      </c>
      <c r="I818" s="11" t="s">
        <v>154</v>
      </c>
      <c r="J818" s="11" t="s">
        <v>155</v>
      </c>
      <c r="K818" s="13" t="n">
        <v>679.85</v>
      </c>
      <c r="L818" s="11" t="n">
        <v>11</v>
      </c>
      <c r="M818" s="14" t="n">
        <v>0.1</v>
      </c>
      <c r="N818" s="13" t="n">
        <v>553.23</v>
      </c>
      <c r="O818" s="13" t="n">
        <f aca="false">K818*L818*(1-M818)</f>
        <v>6730.515</v>
      </c>
      <c r="P818" s="13" t="n">
        <f aca="false">N818*L818</f>
        <v>6085.53</v>
      </c>
      <c r="Q818" s="13" t="n">
        <f aca="false">O818-P818</f>
        <v>644.985</v>
      </c>
      <c r="R818" s="11" t="s">
        <v>46</v>
      </c>
      <c r="S818" s="11" t="s">
        <v>72</v>
      </c>
    </row>
    <row r="819" customFormat="false" ht="15" hidden="false" customHeight="true" outlineLevel="0" collapsed="false">
      <c r="A819" s="15" t="s">
        <v>955</v>
      </c>
      <c r="B819" s="16" t="n">
        <v>45844</v>
      </c>
      <c r="C819" s="15" t="s">
        <v>57</v>
      </c>
      <c r="D819" s="15" t="s">
        <v>162</v>
      </c>
      <c r="E819" s="15" t="s">
        <v>163</v>
      </c>
      <c r="F819" s="15" t="s">
        <v>51</v>
      </c>
      <c r="G819" s="15" t="s">
        <v>42</v>
      </c>
      <c r="H819" s="15" t="s">
        <v>78</v>
      </c>
      <c r="I819" s="15" t="s">
        <v>154</v>
      </c>
      <c r="J819" s="15" t="s">
        <v>155</v>
      </c>
      <c r="K819" s="17" t="n">
        <v>533.71</v>
      </c>
      <c r="L819" s="15" t="n">
        <v>5</v>
      </c>
      <c r="M819" s="18" t="n">
        <v>0.2</v>
      </c>
      <c r="N819" s="17" t="n">
        <v>438.55</v>
      </c>
      <c r="O819" s="17" t="n">
        <f aca="false">K819*L819*(1-M819)</f>
        <v>2134.84</v>
      </c>
      <c r="P819" s="17" t="n">
        <f aca="false">N819*L819</f>
        <v>2192.75</v>
      </c>
      <c r="Q819" s="17" t="n">
        <f aca="false">O819-P819</f>
        <v>-57.9099999999999</v>
      </c>
      <c r="R819" s="15" t="s">
        <v>63</v>
      </c>
      <c r="S819" s="15" t="s">
        <v>47</v>
      </c>
    </row>
    <row r="820" customFormat="false" ht="15" hidden="false" customHeight="true" outlineLevel="0" collapsed="false">
      <c r="A820" s="11" t="s">
        <v>956</v>
      </c>
      <c r="B820" s="12" t="n">
        <v>45844</v>
      </c>
      <c r="C820" s="11" t="s">
        <v>65</v>
      </c>
      <c r="D820" s="11" t="s">
        <v>116</v>
      </c>
      <c r="E820" s="11" t="s">
        <v>117</v>
      </c>
      <c r="F820" s="11" t="s">
        <v>135</v>
      </c>
      <c r="G820" s="11" t="s">
        <v>42</v>
      </c>
      <c r="H820" s="11" t="s">
        <v>43</v>
      </c>
      <c r="I820" s="11" t="s">
        <v>61</v>
      </c>
      <c r="J820" s="11" t="s">
        <v>62</v>
      </c>
      <c r="K820" s="13" t="n">
        <v>274.16</v>
      </c>
      <c r="L820" s="11" t="n">
        <v>24</v>
      </c>
      <c r="M820" s="14" t="n">
        <v>0</v>
      </c>
      <c r="N820" s="13" t="n">
        <v>103.58</v>
      </c>
      <c r="O820" s="13" t="n">
        <f aca="false">K820*L820*(1-M820)</f>
        <v>6579.84</v>
      </c>
      <c r="P820" s="13" t="n">
        <f aca="false">N820*L820</f>
        <v>2485.92</v>
      </c>
      <c r="Q820" s="13" t="n">
        <f aca="false">O820-P820</f>
        <v>4093.92</v>
      </c>
      <c r="R820" s="11" t="s">
        <v>63</v>
      </c>
      <c r="S820" s="11" t="s">
        <v>47</v>
      </c>
    </row>
    <row r="821" customFormat="false" ht="15" hidden="false" customHeight="true" outlineLevel="0" collapsed="false">
      <c r="A821" s="15" t="s">
        <v>957</v>
      </c>
      <c r="B821" s="16" t="n">
        <v>45844</v>
      </c>
      <c r="C821" s="15" t="s">
        <v>49</v>
      </c>
      <c r="D821" s="15" t="s">
        <v>97</v>
      </c>
      <c r="E821" s="15" t="s">
        <v>98</v>
      </c>
      <c r="F821" s="15" t="s">
        <v>109</v>
      </c>
      <c r="G821" s="15" t="s">
        <v>130</v>
      </c>
      <c r="H821" s="15" t="s">
        <v>78</v>
      </c>
      <c r="I821" s="15" t="s">
        <v>79</v>
      </c>
      <c r="J821" s="15" t="s">
        <v>80</v>
      </c>
      <c r="K821" s="17" t="n">
        <v>3163.66</v>
      </c>
      <c r="L821" s="15" t="n">
        <v>9</v>
      </c>
      <c r="M821" s="18" t="n">
        <v>0</v>
      </c>
      <c r="N821" s="17" t="n">
        <v>2543.01</v>
      </c>
      <c r="O821" s="17" t="n">
        <f aca="false">K821*L821*(1-M821)</f>
        <v>28472.94</v>
      </c>
      <c r="P821" s="17" t="n">
        <f aca="false">N821*L821</f>
        <v>22887.09</v>
      </c>
      <c r="Q821" s="17" t="n">
        <f aca="false">O821-P821</f>
        <v>5585.85</v>
      </c>
      <c r="R821" s="15" t="s">
        <v>114</v>
      </c>
      <c r="S821" s="15" t="s">
        <v>47</v>
      </c>
    </row>
    <row r="822" customFormat="false" ht="15" hidden="false" customHeight="true" outlineLevel="0" collapsed="false">
      <c r="A822" s="11" t="s">
        <v>958</v>
      </c>
      <c r="B822" s="12" t="n">
        <v>45845</v>
      </c>
      <c r="C822" s="11" t="s">
        <v>49</v>
      </c>
      <c r="D822" s="11" t="s">
        <v>97</v>
      </c>
      <c r="E822" s="11" t="s">
        <v>112</v>
      </c>
      <c r="F822" s="11" t="s">
        <v>68</v>
      </c>
      <c r="G822" s="11" t="s">
        <v>52</v>
      </c>
      <c r="H822" s="11" t="s">
        <v>53</v>
      </c>
      <c r="I822" s="11" t="s">
        <v>94</v>
      </c>
      <c r="J822" s="11" t="s">
        <v>95</v>
      </c>
      <c r="K822" s="13" t="n">
        <v>19.31</v>
      </c>
      <c r="L822" s="11" t="n">
        <v>5</v>
      </c>
      <c r="M822" s="14" t="n">
        <v>0</v>
      </c>
      <c r="N822" s="13" t="n">
        <v>11.47</v>
      </c>
      <c r="O822" s="13" t="n">
        <f aca="false">K822*L822*(1-M822)</f>
        <v>96.55</v>
      </c>
      <c r="P822" s="13" t="n">
        <f aca="false">N822*L822</f>
        <v>57.35</v>
      </c>
      <c r="Q822" s="13" t="n">
        <f aca="false">O822-P822</f>
        <v>39.2</v>
      </c>
      <c r="R822" s="11" t="s">
        <v>114</v>
      </c>
      <c r="S822" s="11" t="s">
        <v>47</v>
      </c>
    </row>
    <row r="823" customFormat="false" ht="15" hidden="false" customHeight="true" outlineLevel="0" collapsed="false">
      <c r="A823" s="15" t="s">
        <v>959</v>
      </c>
      <c r="B823" s="16" t="n">
        <v>45845</v>
      </c>
      <c r="C823" s="15" t="s">
        <v>49</v>
      </c>
      <c r="D823" s="15" t="s">
        <v>152</v>
      </c>
      <c r="E823" s="15" t="s">
        <v>152</v>
      </c>
      <c r="F823" s="15" t="s">
        <v>99</v>
      </c>
      <c r="G823" s="15" t="s">
        <v>52</v>
      </c>
      <c r="H823" s="15" t="s">
        <v>78</v>
      </c>
      <c r="I823" s="15" t="s">
        <v>120</v>
      </c>
      <c r="J823" s="15" t="s">
        <v>121</v>
      </c>
      <c r="K823" s="17" t="n">
        <v>222.96</v>
      </c>
      <c r="L823" s="15" t="n">
        <v>79</v>
      </c>
      <c r="M823" s="18" t="n">
        <v>0.15</v>
      </c>
      <c r="N823" s="17" t="n">
        <v>172.91</v>
      </c>
      <c r="O823" s="17" t="n">
        <f aca="false">K823*L823*(1-M823)</f>
        <v>14971.764</v>
      </c>
      <c r="P823" s="17" t="n">
        <f aca="false">N823*L823</f>
        <v>13659.89</v>
      </c>
      <c r="Q823" s="17" t="n">
        <f aca="false">O823-P823</f>
        <v>1311.874</v>
      </c>
      <c r="R823" s="15" t="s">
        <v>114</v>
      </c>
      <c r="S823" s="15" t="s">
        <v>47</v>
      </c>
    </row>
    <row r="824" customFormat="false" ht="15" hidden="false" customHeight="true" outlineLevel="0" collapsed="false">
      <c r="A824" s="11" t="s">
        <v>960</v>
      </c>
      <c r="B824" s="12" t="n">
        <v>45845</v>
      </c>
      <c r="C824" s="11" t="s">
        <v>74</v>
      </c>
      <c r="D824" s="11" t="s">
        <v>171</v>
      </c>
      <c r="E824" s="11" t="s">
        <v>172</v>
      </c>
      <c r="F824" s="11" t="s">
        <v>109</v>
      </c>
      <c r="G824" s="11" t="s">
        <v>130</v>
      </c>
      <c r="H824" s="11" t="s">
        <v>78</v>
      </c>
      <c r="I824" s="11" t="s">
        <v>120</v>
      </c>
      <c r="J824" s="11" t="s">
        <v>121</v>
      </c>
      <c r="K824" s="13" t="n">
        <v>384.69</v>
      </c>
      <c r="L824" s="11" t="n">
        <v>59</v>
      </c>
      <c r="M824" s="14" t="n">
        <v>0.05</v>
      </c>
      <c r="N824" s="13" t="n">
        <v>270.8</v>
      </c>
      <c r="O824" s="13" t="n">
        <f aca="false">K824*L824*(1-M824)</f>
        <v>21561.8745</v>
      </c>
      <c r="P824" s="13" t="n">
        <f aca="false">N824*L824</f>
        <v>15977.2</v>
      </c>
      <c r="Q824" s="13" t="n">
        <f aca="false">O824-P824</f>
        <v>5584.6745</v>
      </c>
      <c r="R824" s="11" t="s">
        <v>63</v>
      </c>
      <c r="S824" s="11" t="s">
        <v>72</v>
      </c>
    </row>
    <row r="825" customFormat="false" ht="15" hidden="false" customHeight="true" outlineLevel="0" collapsed="false">
      <c r="A825" s="15" t="s">
        <v>961</v>
      </c>
      <c r="B825" s="16" t="n">
        <v>45845</v>
      </c>
      <c r="C825" s="15" t="s">
        <v>49</v>
      </c>
      <c r="D825" s="15" t="s">
        <v>97</v>
      </c>
      <c r="E825" s="15" t="s">
        <v>98</v>
      </c>
      <c r="F825" s="15" t="s">
        <v>135</v>
      </c>
      <c r="G825" s="15" t="s">
        <v>77</v>
      </c>
      <c r="H825" s="15" t="s">
        <v>78</v>
      </c>
      <c r="I825" s="15" t="s">
        <v>143</v>
      </c>
      <c r="J825" s="15" t="s">
        <v>144</v>
      </c>
      <c r="K825" s="17" t="n">
        <v>1793.7</v>
      </c>
      <c r="L825" s="15" t="n">
        <v>8</v>
      </c>
      <c r="M825" s="18" t="n">
        <v>0.15</v>
      </c>
      <c r="N825" s="17" t="n">
        <v>1430.26</v>
      </c>
      <c r="O825" s="17" t="n">
        <f aca="false">K825*L825*(1-M825)</f>
        <v>12197.16</v>
      </c>
      <c r="P825" s="17" t="n">
        <f aca="false">N825*L825</f>
        <v>11442.08</v>
      </c>
      <c r="Q825" s="17" t="n">
        <f aca="false">O825-P825</f>
        <v>755.08</v>
      </c>
      <c r="R825" s="15" t="s">
        <v>46</v>
      </c>
      <c r="S825" s="15" t="s">
        <v>47</v>
      </c>
    </row>
    <row r="826" customFormat="false" ht="15" hidden="false" customHeight="true" outlineLevel="0" collapsed="false">
      <c r="A826" s="11" t="s">
        <v>962</v>
      </c>
      <c r="B826" s="12" t="n">
        <v>45845</v>
      </c>
      <c r="C826" s="11" t="s">
        <v>38</v>
      </c>
      <c r="D826" s="11" t="s">
        <v>88</v>
      </c>
      <c r="E826" s="11" t="s">
        <v>89</v>
      </c>
      <c r="F826" s="11" t="s">
        <v>51</v>
      </c>
      <c r="G826" s="11" t="s">
        <v>130</v>
      </c>
      <c r="H826" s="11" t="s">
        <v>84</v>
      </c>
      <c r="I826" s="11" t="s">
        <v>85</v>
      </c>
      <c r="J826" s="11" t="s">
        <v>86</v>
      </c>
      <c r="K826" s="13" t="n">
        <v>291.06</v>
      </c>
      <c r="L826" s="11" t="n">
        <v>14</v>
      </c>
      <c r="M826" s="14" t="n">
        <v>0.15</v>
      </c>
      <c r="N826" s="13" t="n">
        <v>232.57</v>
      </c>
      <c r="O826" s="13" t="n">
        <f aca="false">K826*L826*(1-M826)</f>
        <v>3463.614</v>
      </c>
      <c r="P826" s="13" t="n">
        <f aca="false">N826*L826</f>
        <v>3255.98</v>
      </c>
      <c r="Q826" s="13" t="n">
        <f aca="false">O826-P826</f>
        <v>207.634</v>
      </c>
      <c r="R826" s="11" t="s">
        <v>63</v>
      </c>
      <c r="S826" s="11" t="s">
        <v>47</v>
      </c>
    </row>
    <row r="827" customFormat="false" ht="15" hidden="false" customHeight="true" outlineLevel="0" collapsed="false">
      <c r="A827" s="15" t="s">
        <v>963</v>
      </c>
      <c r="B827" s="16" t="n">
        <v>45846</v>
      </c>
      <c r="C827" s="15" t="s">
        <v>49</v>
      </c>
      <c r="D827" s="15" t="s">
        <v>97</v>
      </c>
      <c r="E827" s="15" t="s">
        <v>98</v>
      </c>
      <c r="F827" s="15" t="s">
        <v>68</v>
      </c>
      <c r="G827" s="15" t="s">
        <v>52</v>
      </c>
      <c r="H827" s="15" t="s">
        <v>43</v>
      </c>
      <c r="I827" s="15" t="s">
        <v>44</v>
      </c>
      <c r="J827" s="15" t="s">
        <v>106</v>
      </c>
      <c r="K827" s="17" t="n">
        <v>436.63</v>
      </c>
      <c r="L827" s="15" t="n">
        <v>21</v>
      </c>
      <c r="M827" s="18" t="n">
        <v>0</v>
      </c>
      <c r="N827" s="17" t="n">
        <v>175.2</v>
      </c>
      <c r="O827" s="17" t="n">
        <f aca="false">K827*L827*(1-M827)</f>
        <v>9169.23</v>
      </c>
      <c r="P827" s="17" t="n">
        <f aca="false">N827*L827</f>
        <v>3679.2</v>
      </c>
      <c r="Q827" s="17" t="n">
        <f aca="false">O827-P827</f>
        <v>5490.03</v>
      </c>
      <c r="R827" s="15" t="s">
        <v>46</v>
      </c>
      <c r="S827" s="15" t="s">
        <v>47</v>
      </c>
    </row>
    <row r="828" customFormat="false" ht="15" hidden="false" customHeight="true" outlineLevel="0" collapsed="false">
      <c r="A828" s="11" t="s">
        <v>964</v>
      </c>
      <c r="B828" s="12" t="n">
        <v>45846</v>
      </c>
      <c r="C828" s="11" t="s">
        <v>49</v>
      </c>
      <c r="D828" s="11" t="s">
        <v>50</v>
      </c>
      <c r="E828" s="11" t="s">
        <v>50</v>
      </c>
      <c r="F828" s="11" t="s">
        <v>109</v>
      </c>
      <c r="G828" s="11" t="s">
        <v>52</v>
      </c>
      <c r="H828" s="11" t="s">
        <v>53</v>
      </c>
      <c r="I828" s="11" t="s">
        <v>94</v>
      </c>
      <c r="J828" s="11" t="s">
        <v>131</v>
      </c>
      <c r="K828" s="13" t="n">
        <v>36.03</v>
      </c>
      <c r="L828" s="11" t="n">
        <v>100</v>
      </c>
      <c r="M828" s="14" t="n">
        <v>0</v>
      </c>
      <c r="N828" s="13" t="n">
        <v>21.3</v>
      </c>
      <c r="O828" s="13" t="n">
        <f aca="false">K828*L828*(1-M828)</f>
        <v>3603</v>
      </c>
      <c r="P828" s="13" t="n">
        <f aca="false">N828*L828</f>
        <v>2130</v>
      </c>
      <c r="Q828" s="13" t="n">
        <f aca="false">O828-P828</f>
        <v>1473</v>
      </c>
      <c r="R828" s="11" t="s">
        <v>46</v>
      </c>
      <c r="S828" s="11" t="s">
        <v>47</v>
      </c>
    </row>
    <row r="829" customFormat="false" ht="15" hidden="false" customHeight="true" outlineLevel="0" collapsed="false">
      <c r="A829" s="15" t="s">
        <v>965</v>
      </c>
      <c r="B829" s="16" t="n">
        <v>45847</v>
      </c>
      <c r="C829" s="15" t="s">
        <v>49</v>
      </c>
      <c r="D829" s="15" t="s">
        <v>152</v>
      </c>
      <c r="E829" s="15" t="s">
        <v>152</v>
      </c>
      <c r="F829" s="15" t="s">
        <v>109</v>
      </c>
      <c r="G829" s="15" t="s">
        <v>130</v>
      </c>
      <c r="H829" s="15" t="s">
        <v>53</v>
      </c>
      <c r="I829" s="15" t="s">
        <v>54</v>
      </c>
      <c r="J829" s="15" t="s">
        <v>55</v>
      </c>
      <c r="K829" s="17" t="n">
        <v>25.13</v>
      </c>
      <c r="L829" s="15" t="n">
        <v>157</v>
      </c>
      <c r="M829" s="18" t="n">
        <v>0</v>
      </c>
      <c r="N829" s="17" t="n">
        <v>14.6</v>
      </c>
      <c r="O829" s="17" t="n">
        <f aca="false">K829*L829*(1-M829)</f>
        <v>3945.41</v>
      </c>
      <c r="P829" s="17" t="n">
        <f aca="false">N829*L829</f>
        <v>2292.2</v>
      </c>
      <c r="Q829" s="17" t="n">
        <f aca="false">O829-P829</f>
        <v>1653.21</v>
      </c>
      <c r="R829" s="15" t="s">
        <v>46</v>
      </c>
      <c r="S829" s="15" t="s">
        <v>47</v>
      </c>
    </row>
    <row r="830" customFormat="false" ht="15" hidden="false" customHeight="true" outlineLevel="0" collapsed="false">
      <c r="A830" s="11" t="s">
        <v>966</v>
      </c>
      <c r="B830" s="12" t="n">
        <v>45847</v>
      </c>
      <c r="C830" s="11" t="s">
        <v>65</v>
      </c>
      <c r="D830" s="11" t="s">
        <v>149</v>
      </c>
      <c r="E830" s="11" t="s">
        <v>150</v>
      </c>
      <c r="F830" s="11" t="s">
        <v>118</v>
      </c>
      <c r="G830" s="11" t="s">
        <v>52</v>
      </c>
      <c r="H830" s="11" t="s">
        <v>78</v>
      </c>
      <c r="I830" s="11" t="s">
        <v>154</v>
      </c>
      <c r="J830" s="11" t="s">
        <v>186</v>
      </c>
      <c r="K830" s="13" t="n">
        <v>569.5</v>
      </c>
      <c r="L830" s="11" t="n">
        <v>19</v>
      </c>
      <c r="M830" s="14" t="n">
        <v>0.05</v>
      </c>
      <c r="N830" s="13" t="n">
        <v>482.3</v>
      </c>
      <c r="O830" s="13" t="n">
        <f aca="false">K830*L830*(1-M830)</f>
        <v>10279.475</v>
      </c>
      <c r="P830" s="13" t="n">
        <f aca="false">N830*L830</f>
        <v>9163.7</v>
      </c>
      <c r="Q830" s="13" t="n">
        <f aca="false">O830-P830</f>
        <v>1115.775</v>
      </c>
      <c r="R830" s="11" t="s">
        <v>167</v>
      </c>
      <c r="S830" s="11" t="s">
        <v>47</v>
      </c>
    </row>
    <row r="831" customFormat="false" ht="15" hidden="false" customHeight="true" outlineLevel="0" collapsed="false">
      <c r="A831" s="15" t="s">
        <v>967</v>
      </c>
      <c r="B831" s="16" t="n">
        <v>45847</v>
      </c>
      <c r="C831" s="15" t="s">
        <v>65</v>
      </c>
      <c r="D831" s="15" t="s">
        <v>82</v>
      </c>
      <c r="E831" s="15" t="s">
        <v>83</v>
      </c>
      <c r="F831" s="15" t="s">
        <v>118</v>
      </c>
      <c r="G831" s="15" t="s">
        <v>52</v>
      </c>
      <c r="H831" s="15" t="s">
        <v>53</v>
      </c>
      <c r="I831" s="15" t="s">
        <v>69</v>
      </c>
      <c r="J831" s="15" t="s">
        <v>70</v>
      </c>
      <c r="K831" s="17" t="n">
        <v>31.33</v>
      </c>
      <c r="L831" s="15" t="n">
        <v>57</v>
      </c>
      <c r="M831" s="18" t="n">
        <v>0.05</v>
      </c>
      <c r="N831" s="17" t="n">
        <v>21.81</v>
      </c>
      <c r="O831" s="17" t="n">
        <f aca="false">K831*L831*(1-M831)</f>
        <v>1696.5195</v>
      </c>
      <c r="P831" s="17" t="n">
        <f aca="false">N831*L831</f>
        <v>1243.17</v>
      </c>
      <c r="Q831" s="17" t="n">
        <f aca="false">O831-P831</f>
        <v>453.3495</v>
      </c>
      <c r="R831" s="15" t="s">
        <v>114</v>
      </c>
      <c r="S831" s="15" t="s">
        <v>124</v>
      </c>
    </row>
    <row r="832" customFormat="false" ht="15" hidden="false" customHeight="true" outlineLevel="0" collapsed="false">
      <c r="A832" s="11" t="s">
        <v>968</v>
      </c>
      <c r="B832" s="12" t="n">
        <v>45847</v>
      </c>
      <c r="C832" s="11" t="s">
        <v>38</v>
      </c>
      <c r="D832" s="11" t="s">
        <v>39</v>
      </c>
      <c r="E832" s="11" t="s">
        <v>40</v>
      </c>
      <c r="F832" s="11" t="s">
        <v>51</v>
      </c>
      <c r="G832" s="11" t="s">
        <v>126</v>
      </c>
      <c r="H832" s="11" t="s">
        <v>43</v>
      </c>
      <c r="I832" s="11" t="s">
        <v>44</v>
      </c>
      <c r="J832" s="11" t="s">
        <v>106</v>
      </c>
      <c r="K832" s="13" t="n">
        <v>261.11</v>
      </c>
      <c r="L832" s="11" t="n">
        <v>50</v>
      </c>
      <c r="M832" s="14" t="n">
        <v>0.1</v>
      </c>
      <c r="N832" s="13" t="n">
        <v>115.03</v>
      </c>
      <c r="O832" s="13" t="n">
        <f aca="false">K832*L832*(1-M832)</f>
        <v>11749.95</v>
      </c>
      <c r="P832" s="13" t="n">
        <f aca="false">N832*L832</f>
        <v>5751.5</v>
      </c>
      <c r="Q832" s="13" t="n">
        <f aca="false">O832-P832</f>
        <v>5998.45</v>
      </c>
      <c r="R832" s="11" t="s">
        <v>71</v>
      </c>
      <c r="S832" s="11" t="s">
        <v>47</v>
      </c>
    </row>
    <row r="833" customFormat="false" ht="15" hidden="false" customHeight="true" outlineLevel="0" collapsed="false">
      <c r="A833" s="15" t="s">
        <v>969</v>
      </c>
      <c r="B833" s="16" t="n">
        <v>45849</v>
      </c>
      <c r="C833" s="15" t="s">
        <v>49</v>
      </c>
      <c r="D833" s="15" t="s">
        <v>97</v>
      </c>
      <c r="E833" s="15" t="s">
        <v>112</v>
      </c>
      <c r="F833" s="15" t="s">
        <v>177</v>
      </c>
      <c r="G833" s="15" t="s">
        <v>126</v>
      </c>
      <c r="H833" s="15" t="s">
        <v>84</v>
      </c>
      <c r="I833" s="15" t="s">
        <v>136</v>
      </c>
      <c r="J833" s="15" t="s">
        <v>137</v>
      </c>
      <c r="K833" s="17" t="n">
        <v>245.98</v>
      </c>
      <c r="L833" s="15" t="n">
        <v>6</v>
      </c>
      <c r="M833" s="18" t="n">
        <v>0.2</v>
      </c>
      <c r="N833" s="17" t="n">
        <v>173.75</v>
      </c>
      <c r="O833" s="17" t="n">
        <f aca="false">K833*L833*(1-M833)</f>
        <v>1180.704</v>
      </c>
      <c r="P833" s="17" t="n">
        <f aca="false">N833*L833</f>
        <v>1042.5</v>
      </c>
      <c r="Q833" s="17" t="n">
        <f aca="false">O833-P833</f>
        <v>138.204</v>
      </c>
      <c r="R833" s="15" t="s">
        <v>63</v>
      </c>
      <c r="S833" s="15" t="s">
        <v>124</v>
      </c>
    </row>
    <row r="834" customFormat="false" ht="15" hidden="false" customHeight="true" outlineLevel="0" collapsed="false">
      <c r="A834" s="11" t="s">
        <v>970</v>
      </c>
      <c r="B834" s="12" t="n">
        <v>45851</v>
      </c>
      <c r="C834" s="11" t="s">
        <v>65</v>
      </c>
      <c r="D834" s="11" t="s">
        <v>149</v>
      </c>
      <c r="E834" s="11" t="s">
        <v>150</v>
      </c>
      <c r="F834" s="11" t="s">
        <v>109</v>
      </c>
      <c r="G834" s="11" t="s">
        <v>126</v>
      </c>
      <c r="H834" s="11" t="s">
        <v>53</v>
      </c>
      <c r="I834" s="11" t="s">
        <v>94</v>
      </c>
      <c r="J834" s="11" t="s">
        <v>95</v>
      </c>
      <c r="K834" s="13" t="n">
        <v>33.43</v>
      </c>
      <c r="L834" s="11" t="n">
        <v>47</v>
      </c>
      <c r="M834" s="14" t="n">
        <v>0</v>
      </c>
      <c r="N834" s="13" t="n">
        <v>21.55</v>
      </c>
      <c r="O834" s="13" t="n">
        <f aca="false">K834*L834*(1-M834)</f>
        <v>1571.21</v>
      </c>
      <c r="P834" s="13" t="n">
        <f aca="false">N834*L834</f>
        <v>1012.85</v>
      </c>
      <c r="Q834" s="13" t="n">
        <f aca="false">O834-P834</f>
        <v>558.36</v>
      </c>
      <c r="R834" s="11" t="s">
        <v>46</v>
      </c>
      <c r="S834" s="11" t="s">
        <v>47</v>
      </c>
    </row>
    <row r="835" customFormat="false" ht="15" hidden="false" customHeight="true" outlineLevel="0" collapsed="false">
      <c r="A835" s="15" t="s">
        <v>971</v>
      </c>
      <c r="B835" s="16" t="n">
        <v>45853</v>
      </c>
      <c r="C835" s="15" t="s">
        <v>49</v>
      </c>
      <c r="D835" s="15" t="s">
        <v>50</v>
      </c>
      <c r="E835" s="15" t="s">
        <v>50</v>
      </c>
      <c r="F835" s="15" t="s">
        <v>109</v>
      </c>
      <c r="G835" s="15" t="s">
        <v>126</v>
      </c>
      <c r="H835" s="15" t="s">
        <v>78</v>
      </c>
      <c r="I835" s="15" t="s">
        <v>143</v>
      </c>
      <c r="J835" s="15" t="s">
        <v>144</v>
      </c>
      <c r="K835" s="17" t="n">
        <v>1491.51</v>
      </c>
      <c r="L835" s="15" t="n">
        <v>16</v>
      </c>
      <c r="M835" s="18" t="n">
        <v>0</v>
      </c>
      <c r="N835" s="17" t="n">
        <v>1231.55</v>
      </c>
      <c r="O835" s="17" t="n">
        <f aca="false">K835*L835*(1-M835)</f>
        <v>23864.16</v>
      </c>
      <c r="P835" s="17" t="n">
        <f aca="false">N835*L835</f>
        <v>19704.8</v>
      </c>
      <c r="Q835" s="17" t="n">
        <f aca="false">O835-P835</f>
        <v>4159.36</v>
      </c>
      <c r="R835" s="15" t="s">
        <v>63</v>
      </c>
      <c r="S835" s="15" t="s">
        <v>124</v>
      </c>
    </row>
    <row r="836" customFormat="false" ht="15" hidden="false" customHeight="true" outlineLevel="0" collapsed="false">
      <c r="A836" s="11" t="s">
        <v>972</v>
      </c>
      <c r="B836" s="12" t="n">
        <v>45853</v>
      </c>
      <c r="C836" s="11" t="s">
        <v>49</v>
      </c>
      <c r="D836" s="11" t="s">
        <v>97</v>
      </c>
      <c r="E836" s="11" t="s">
        <v>112</v>
      </c>
      <c r="F836" s="11" t="s">
        <v>41</v>
      </c>
      <c r="G836" s="11" t="s">
        <v>52</v>
      </c>
      <c r="H836" s="11" t="s">
        <v>78</v>
      </c>
      <c r="I836" s="11" t="s">
        <v>120</v>
      </c>
      <c r="J836" s="11" t="s">
        <v>121</v>
      </c>
      <c r="K836" s="13" t="n">
        <v>412.97</v>
      </c>
      <c r="L836" s="11" t="n">
        <v>9</v>
      </c>
      <c r="M836" s="14" t="n">
        <v>0</v>
      </c>
      <c r="N836" s="13" t="n">
        <v>303.17</v>
      </c>
      <c r="O836" s="13" t="n">
        <f aca="false">K836*L836*(1-M836)</f>
        <v>3716.73</v>
      </c>
      <c r="P836" s="13" t="n">
        <f aca="false">N836*L836</f>
        <v>2728.53</v>
      </c>
      <c r="Q836" s="13" t="n">
        <f aca="false">O836-P836</f>
        <v>988.2</v>
      </c>
      <c r="R836" s="11" t="s">
        <v>71</v>
      </c>
      <c r="S836" s="11" t="s">
        <v>47</v>
      </c>
    </row>
    <row r="837" customFormat="false" ht="15" hidden="false" customHeight="true" outlineLevel="0" collapsed="false">
      <c r="A837" s="15" t="s">
        <v>973</v>
      </c>
      <c r="B837" s="16" t="n">
        <v>45854</v>
      </c>
      <c r="C837" s="15" t="s">
        <v>65</v>
      </c>
      <c r="D837" s="15" t="s">
        <v>82</v>
      </c>
      <c r="E837" s="15" t="s">
        <v>83</v>
      </c>
      <c r="F837" s="15" t="s">
        <v>68</v>
      </c>
      <c r="G837" s="15" t="s">
        <v>52</v>
      </c>
      <c r="H837" s="15" t="s">
        <v>78</v>
      </c>
      <c r="I837" s="15" t="s">
        <v>120</v>
      </c>
      <c r="J837" s="15" t="s">
        <v>121</v>
      </c>
      <c r="K837" s="17" t="n">
        <v>265.71</v>
      </c>
      <c r="L837" s="15" t="n">
        <v>33</v>
      </c>
      <c r="M837" s="18" t="n">
        <v>0</v>
      </c>
      <c r="N837" s="17" t="n">
        <v>205.75</v>
      </c>
      <c r="O837" s="17" t="n">
        <f aca="false">K837*L837*(1-M837)</f>
        <v>8768.43</v>
      </c>
      <c r="P837" s="17" t="n">
        <f aca="false">N837*L837</f>
        <v>6789.75</v>
      </c>
      <c r="Q837" s="17" t="n">
        <f aca="false">O837-P837</f>
        <v>1978.68</v>
      </c>
      <c r="R837" s="15" t="s">
        <v>167</v>
      </c>
      <c r="S837" s="15" t="s">
        <v>47</v>
      </c>
    </row>
    <row r="838" customFormat="false" ht="15" hidden="false" customHeight="true" outlineLevel="0" collapsed="false">
      <c r="A838" s="11" t="s">
        <v>974</v>
      </c>
      <c r="B838" s="12" t="n">
        <v>45854</v>
      </c>
      <c r="C838" s="11" t="s">
        <v>49</v>
      </c>
      <c r="D838" s="11" t="s">
        <v>97</v>
      </c>
      <c r="E838" s="11" t="s">
        <v>98</v>
      </c>
      <c r="F838" s="11" t="s">
        <v>135</v>
      </c>
      <c r="G838" s="11" t="s">
        <v>42</v>
      </c>
      <c r="H838" s="11" t="s">
        <v>78</v>
      </c>
      <c r="I838" s="11" t="s">
        <v>143</v>
      </c>
      <c r="J838" s="11" t="s">
        <v>158</v>
      </c>
      <c r="K838" s="13" t="n">
        <v>697.87</v>
      </c>
      <c r="L838" s="11" t="n">
        <v>14</v>
      </c>
      <c r="M838" s="14" t="n">
        <v>0</v>
      </c>
      <c r="N838" s="13" t="n">
        <v>553.68</v>
      </c>
      <c r="O838" s="13" t="n">
        <f aca="false">K838*L838*(1-M838)</f>
        <v>9770.18</v>
      </c>
      <c r="P838" s="13" t="n">
        <f aca="false">N838*L838</f>
        <v>7751.52</v>
      </c>
      <c r="Q838" s="13" t="n">
        <f aca="false">O838-P838</f>
        <v>2018.66</v>
      </c>
      <c r="R838" s="11" t="s">
        <v>46</v>
      </c>
      <c r="S838" s="11" t="s">
        <v>47</v>
      </c>
    </row>
    <row r="839" customFormat="false" ht="15" hidden="false" customHeight="true" outlineLevel="0" collapsed="false">
      <c r="A839" s="15" t="s">
        <v>975</v>
      </c>
      <c r="B839" s="16" t="n">
        <v>45857</v>
      </c>
      <c r="C839" s="15" t="s">
        <v>49</v>
      </c>
      <c r="D839" s="15" t="s">
        <v>97</v>
      </c>
      <c r="E839" s="15" t="s">
        <v>112</v>
      </c>
      <c r="F839" s="15" t="s">
        <v>60</v>
      </c>
      <c r="G839" s="15" t="s">
        <v>77</v>
      </c>
      <c r="H839" s="15" t="s">
        <v>53</v>
      </c>
      <c r="I839" s="15" t="s">
        <v>94</v>
      </c>
      <c r="J839" s="15" t="s">
        <v>95</v>
      </c>
      <c r="K839" s="17" t="n">
        <v>26.28</v>
      </c>
      <c r="L839" s="15" t="n">
        <v>11</v>
      </c>
      <c r="M839" s="18" t="n">
        <v>0</v>
      </c>
      <c r="N839" s="17" t="n">
        <v>17.82</v>
      </c>
      <c r="O839" s="17" t="n">
        <f aca="false">K839*L839*(1-M839)</f>
        <v>289.08</v>
      </c>
      <c r="P839" s="17" t="n">
        <f aca="false">N839*L839</f>
        <v>196.02</v>
      </c>
      <c r="Q839" s="17" t="n">
        <f aca="false">O839-P839</f>
        <v>93.06</v>
      </c>
      <c r="R839" s="15" t="s">
        <v>46</v>
      </c>
      <c r="S839" s="15" t="s">
        <v>47</v>
      </c>
    </row>
    <row r="840" customFormat="false" ht="15" hidden="false" customHeight="true" outlineLevel="0" collapsed="false">
      <c r="A840" s="11" t="s">
        <v>976</v>
      </c>
      <c r="B840" s="12" t="n">
        <v>45858</v>
      </c>
      <c r="C840" s="11" t="s">
        <v>65</v>
      </c>
      <c r="D840" s="11" t="s">
        <v>116</v>
      </c>
      <c r="E840" s="11" t="s">
        <v>117</v>
      </c>
      <c r="F840" s="11" t="s">
        <v>68</v>
      </c>
      <c r="G840" s="11" t="s">
        <v>52</v>
      </c>
      <c r="H840" s="11" t="s">
        <v>53</v>
      </c>
      <c r="I840" s="11" t="s">
        <v>69</v>
      </c>
      <c r="J840" s="11" t="s">
        <v>70</v>
      </c>
      <c r="K840" s="13" t="n">
        <v>26.4</v>
      </c>
      <c r="L840" s="11" t="n">
        <v>71</v>
      </c>
      <c r="M840" s="14" t="n">
        <v>0</v>
      </c>
      <c r="N840" s="13" t="n">
        <v>18.94</v>
      </c>
      <c r="O840" s="13" t="n">
        <f aca="false">K840*L840*(1-M840)</f>
        <v>1874.4</v>
      </c>
      <c r="P840" s="13" t="n">
        <f aca="false">N840*L840</f>
        <v>1344.74</v>
      </c>
      <c r="Q840" s="13" t="n">
        <f aca="false">O840-P840</f>
        <v>529.66</v>
      </c>
      <c r="R840" s="11" t="s">
        <v>46</v>
      </c>
      <c r="S840" s="11" t="s">
        <v>47</v>
      </c>
    </row>
    <row r="841" customFormat="false" ht="15" hidden="false" customHeight="true" outlineLevel="0" collapsed="false">
      <c r="A841" s="15" t="s">
        <v>977</v>
      </c>
      <c r="B841" s="16" t="n">
        <v>45859</v>
      </c>
      <c r="C841" s="15" t="s">
        <v>38</v>
      </c>
      <c r="D841" s="15" t="s">
        <v>39</v>
      </c>
      <c r="E841" s="15" t="s">
        <v>40</v>
      </c>
      <c r="F841" s="15" t="s">
        <v>41</v>
      </c>
      <c r="G841" s="15" t="s">
        <v>52</v>
      </c>
      <c r="H841" s="15" t="s">
        <v>78</v>
      </c>
      <c r="I841" s="15" t="s">
        <v>143</v>
      </c>
      <c r="J841" s="15" t="s">
        <v>144</v>
      </c>
      <c r="K841" s="17" t="n">
        <v>1297.23</v>
      </c>
      <c r="L841" s="15" t="n">
        <v>7</v>
      </c>
      <c r="M841" s="18" t="n">
        <v>0.1</v>
      </c>
      <c r="N841" s="17" t="n">
        <v>1032.97</v>
      </c>
      <c r="O841" s="17" t="n">
        <f aca="false">K841*L841*(1-M841)</f>
        <v>8172.549</v>
      </c>
      <c r="P841" s="17" t="n">
        <f aca="false">N841*L841</f>
        <v>7230.79</v>
      </c>
      <c r="Q841" s="17" t="n">
        <f aca="false">O841-P841</f>
        <v>941.759000000001</v>
      </c>
      <c r="R841" s="15" t="s">
        <v>114</v>
      </c>
      <c r="S841" s="15" t="s">
        <v>47</v>
      </c>
    </row>
    <row r="842" customFormat="false" ht="15" hidden="false" customHeight="true" outlineLevel="0" collapsed="false">
      <c r="A842" s="11" t="s">
        <v>978</v>
      </c>
      <c r="B842" s="12" t="n">
        <v>45859</v>
      </c>
      <c r="C842" s="11" t="s">
        <v>65</v>
      </c>
      <c r="D842" s="11" t="s">
        <v>66</v>
      </c>
      <c r="E842" s="11" t="s">
        <v>67</v>
      </c>
      <c r="F842" s="11" t="s">
        <v>51</v>
      </c>
      <c r="G842" s="11" t="s">
        <v>77</v>
      </c>
      <c r="H842" s="11" t="s">
        <v>78</v>
      </c>
      <c r="I842" s="11" t="s">
        <v>79</v>
      </c>
      <c r="J842" s="11" t="s">
        <v>80</v>
      </c>
      <c r="K842" s="13" t="n">
        <v>3201.68</v>
      </c>
      <c r="L842" s="11" t="n">
        <v>7</v>
      </c>
      <c r="M842" s="14" t="n">
        <v>0.1</v>
      </c>
      <c r="N842" s="13" t="n">
        <v>2716.73</v>
      </c>
      <c r="O842" s="13" t="n">
        <f aca="false">K842*L842*(1-M842)</f>
        <v>20170.584</v>
      </c>
      <c r="P842" s="13" t="n">
        <f aca="false">N842*L842</f>
        <v>19017.11</v>
      </c>
      <c r="Q842" s="13" t="n">
        <f aca="false">O842-P842</f>
        <v>1153.474</v>
      </c>
      <c r="R842" s="11" t="s">
        <v>46</v>
      </c>
      <c r="S842" s="11" t="s">
        <v>47</v>
      </c>
    </row>
    <row r="843" customFormat="false" ht="15" hidden="false" customHeight="true" outlineLevel="0" collapsed="false">
      <c r="A843" s="15" t="s">
        <v>979</v>
      </c>
      <c r="B843" s="16" t="n">
        <v>45861</v>
      </c>
      <c r="C843" s="15" t="s">
        <v>65</v>
      </c>
      <c r="D843" s="15" t="s">
        <v>116</v>
      </c>
      <c r="E843" s="15" t="s">
        <v>117</v>
      </c>
      <c r="F843" s="15" t="s">
        <v>41</v>
      </c>
      <c r="G843" s="15" t="s">
        <v>52</v>
      </c>
      <c r="H843" s="15" t="s">
        <v>78</v>
      </c>
      <c r="I843" s="15" t="s">
        <v>79</v>
      </c>
      <c r="J843" s="15" t="s">
        <v>216</v>
      </c>
      <c r="K843" s="17" t="n">
        <v>3878.09</v>
      </c>
      <c r="L843" s="15" t="n">
        <v>1</v>
      </c>
      <c r="M843" s="18" t="n">
        <v>0.05</v>
      </c>
      <c r="N843" s="17" t="n">
        <v>3258.48</v>
      </c>
      <c r="O843" s="17" t="n">
        <f aca="false">K843*L843*(1-M843)</f>
        <v>3684.1855</v>
      </c>
      <c r="P843" s="17" t="n">
        <f aca="false">N843*L843</f>
        <v>3258.48</v>
      </c>
      <c r="Q843" s="17" t="n">
        <f aca="false">O843-P843</f>
        <v>425.7055</v>
      </c>
      <c r="R843" s="15" t="s">
        <v>167</v>
      </c>
      <c r="S843" s="15" t="s">
        <v>47</v>
      </c>
    </row>
    <row r="844" customFormat="false" ht="15" hidden="false" customHeight="true" outlineLevel="0" collapsed="false">
      <c r="A844" s="11" t="s">
        <v>980</v>
      </c>
      <c r="B844" s="12" t="n">
        <v>45861</v>
      </c>
      <c r="C844" s="11" t="s">
        <v>65</v>
      </c>
      <c r="D844" s="11" t="s">
        <v>66</v>
      </c>
      <c r="E844" s="11" t="s">
        <v>67</v>
      </c>
      <c r="F844" s="11" t="s">
        <v>51</v>
      </c>
      <c r="G844" s="11" t="s">
        <v>126</v>
      </c>
      <c r="H844" s="11" t="s">
        <v>53</v>
      </c>
      <c r="I844" s="11" t="s">
        <v>54</v>
      </c>
      <c r="J844" s="11" t="s">
        <v>113</v>
      </c>
      <c r="K844" s="13" t="n">
        <v>24.94</v>
      </c>
      <c r="L844" s="11" t="n">
        <v>101</v>
      </c>
      <c r="M844" s="14" t="n">
        <v>0.1</v>
      </c>
      <c r="N844" s="13" t="n">
        <v>15.39</v>
      </c>
      <c r="O844" s="13" t="n">
        <f aca="false">K844*L844*(1-M844)</f>
        <v>2267.046</v>
      </c>
      <c r="P844" s="13" t="n">
        <f aca="false">N844*L844</f>
        <v>1554.39</v>
      </c>
      <c r="Q844" s="13" t="n">
        <f aca="false">O844-P844</f>
        <v>712.656</v>
      </c>
      <c r="R844" s="11" t="s">
        <v>46</v>
      </c>
      <c r="S844" s="11" t="s">
        <v>187</v>
      </c>
    </row>
    <row r="845" customFormat="false" ht="15" hidden="false" customHeight="true" outlineLevel="0" collapsed="false">
      <c r="A845" s="15" t="s">
        <v>981</v>
      </c>
      <c r="B845" s="16" t="n">
        <v>45863</v>
      </c>
      <c r="C845" s="15" t="s">
        <v>49</v>
      </c>
      <c r="D845" s="15" t="s">
        <v>97</v>
      </c>
      <c r="E845" s="15" t="s">
        <v>112</v>
      </c>
      <c r="F845" s="15" t="s">
        <v>41</v>
      </c>
      <c r="G845" s="15" t="s">
        <v>77</v>
      </c>
      <c r="H845" s="15" t="s">
        <v>53</v>
      </c>
      <c r="I845" s="15" t="s">
        <v>69</v>
      </c>
      <c r="J845" s="15" t="s">
        <v>70</v>
      </c>
      <c r="K845" s="17" t="n">
        <v>29.85</v>
      </c>
      <c r="L845" s="15" t="n">
        <v>64</v>
      </c>
      <c r="M845" s="18" t="n">
        <v>0</v>
      </c>
      <c r="N845" s="17" t="n">
        <v>21.17</v>
      </c>
      <c r="O845" s="17" t="n">
        <f aca="false">K845*L845*(1-M845)</f>
        <v>1910.4</v>
      </c>
      <c r="P845" s="17" t="n">
        <f aca="false">N845*L845</f>
        <v>1354.88</v>
      </c>
      <c r="Q845" s="17" t="n">
        <f aca="false">O845-P845</f>
        <v>555.52</v>
      </c>
      <c r="R845" s="15" t="s">
        <v>46</v>
      </c>
      <c r="S845" s="15" t="s">
        <v>47</v>
      </c>
    </row>
    <row r="846" customFormat="false" ht="15" hidden="false" customHeight="true" outlineLevel="0" collapsed="false">
      <c r="A846" s="11" t="s">
        <v>982</v>
      </c>
      <c r="B846" s="12" t="n">
        <v>45864</v>
      </c>
      <c r="C846" s="11" t="s">
        <v>57</v>
      </c>
      <c r="D846" s="11" t="s">
        <v>103</v>
      </c>
      <c r="E846" s="11" t="s">
        <v>104</v>
      </c>
      <c r="F846" s="11" t="s">
        <v>177</v>
      </c>
      <c r="G846" s="11" t="s">
        <v>77</v>
      </c>
      <c r="H846" s="11" t="s">
        <v>84</v>
      </c>
      <c r="I846" s="11" t="s">
        <v>136</v>
      </c>
      <c r="J846" s="11" t="s">
        <v>137</v>
      </c>
      <c r="K846" s="13" t="n">
        <v>290.52</v>
      </c>
      <c r="L846" s="11" t="n">
        <v>6</v>
      </c>
      <c r="M846" s="14" t="n">
        <v>0</v>
      </c>
      <c r="N846" s="13" t="n">
        <v>207.18</v>
      </c>
      <c r="O846" s="13" t="n">
        <f aca="false">K846*L846*(1-M846)</f>
        <v>1743.12</v>
      </c>
      <c r="P846" s="13" t="n">
        <f aca="false">N846*L846</f>
        <v>1243.08</v>
      </c>
      <c r="Q846" s="13" t="n">
        <f aca="false">O846-P846</f>
        <v>500.04</v>
      </c>
      <c r="R846" s="11" t="s">
        <v>46</v>
      </c>
      <c r="S846" s="11" t="s">
        <v>47</v>
      </c>
    </row>
    <row r="847" customFormat="false" ht="15" hidden="false" customHeight="true" outlineLevel="0" collapsed="false">
      <c r="A847" s="15" t="s">
        <v>983</v>
      </c>
      <c r="B847" s="16" t="n">
        <v>45864</v>
      </c>
      <c r="C847" s="15" t="s">
        <v>49</v>
      </c>
      <c r="D847" s="15" t="s">
        <v>152</v>
      </c>
      <c r="E847" s="15" t="s">
        <v>152</v>
      </c>
      <c r="F847" s="15" t="s">
        <v>60</v>
      </c>
      <c r="G847" s="15" t="s">
        <v>42</v>
      </c>
      <c r="H847" s="15" t="s">
        <v>84</v>
      </c>
      <c r="I847" s="15" t="s">
        <v>100</v>
      </c>
      <c r="J847" s="15" t="s">
        <v>101</v>
      </c>
      <c r="K847" s="17" t="n">
        <v>1057.63</v>
      </c>
      <c r="L847" s="15" t="n">
        <v>6</v>
      </c>
      <c r="M847" s="18" t="n">
        <v>0.05</v>
      </c>
      <c r="N847" s="17" t="n">
        <v>801.18</v>
      </c>
      <c r="O847" s="17" t="n">
        <f aca="false">K847*L847*(1-M847)</f>
        <v>6028.491</v>
      </c>
      <c r="P847" s="17" t="n">
        <f aca="false">N847*L847</f>
        <v>4807.08</v>
      </c>
      <c r="Q847" s="17" t="n">
        <f aca="false">O847-P847</f>
        <v>1221.411</v>
      </c>
      <c r="R847" s="15" t="s">
        <v>46</v>
      </c>
      <c r="S847" s="15" t="s">
        <v>47</v>
      </c>
    </row>
    <row r="848" customFormat="false" ht="15" hidden="false" customHeight="true" outlineLevel="0" collapsed="false">
      <c r="A848" s="11" t="s">
        <v>984</v>
      </c>
      <c r="B848" s="12" t="n">
        <v>45865</v>
      </c>
      <c r="C848" s="11" t="s">
        <v>49</v>
      </c>
      <c r="D848" s="11" t="s">
        <v>97</v>
      </c>
      <c r="E848" s="11" t="s">
        <v>98</v>
      </c>
      <c r="F848" s="11" t="s">
        <v>51</v>
      </c>
      <c r="G848" s="11" t="s">
        <v>77</v>
      </c>
      <c r="H848" s="11" t="s">
        <v>53</v>
      </c>
      <c r="I848" s="11" t="s">
        <v>94</v>
      </c>
      <c r="J848" s="11" t="s">
        <v>95</v>
      </c>
      <c r="K848" s="13" t="n">
        <v>30.24</v>
      </c>
      <c r="L848" s="11" t="n">
        <v>6</v>
      </c>
      <c r="M848" s="14" t="n">
        <v>0</v>
      </c>
      <c r="N848" s="13" t="n">
        <v>19.65</v>
      </c>
      <c r="O848" s="13" t="n">
        <f aca="false">K848*L848*(1-M848)</f>
        <v>181.44</v>
      </c>
      <c r="P848" s="13" t="n">
        <f aca="false">N848*L848</f>
        <v>117.9</v>
      </c>
      <c r="Q848" s="13" t="n">
        <f aca="false">O848-P848</f>
        <v>63.54</v>
      </c>
      <c r="R848" s="11" t="s">
        <v>63</v>
      </c>
      <c r="S848" s="11" t="s">
        <v>47</v>
      </c>
    </row>
    <row r="849" customFormat="false" ht="15" hidden="false" customHeight="true" outlineLevel="0" collapsed="false">
      <c r="A849" s="15" t="s">
        <v>985</v>
      </c>
      <c r="B849" s="16" t="n">
        <v>45868</v>
      </c>
      <c r="C849" s="15" t="s">
        <v>49</v>
      </c>
      <c r="D849" s="15" t="s">
        <v>97</v>
      </c>
      <c r="E849" s="15" t="s">
        <v>108</v>
      </c>
      <c r="F849" s="15" t="s">
        <v>51</v>
      </c>
      <c r="G849" s="15" t="s">
        <v>77</v>
      </c>
      <c r="H849" s="15" t="s">
        <v>43</v>
      </c>
      <c r="I849" s="15" t="s">
        <v>61</v>
      </c>
      <c r="J849" s="15" t="s">
        <v>147</v>
      </c>
      <c r="K849" s="17" t="n">
        <v>326.51</v>
      </c>
      <c r="L849" s="15" t="n">
        <v>21</v>
      </c>
      <c r="M849" s="18" t="n">
        <v>0.15</v>
      </c>
      <c r="N849" s="17" t="n">
        <v>147.34</v>
      </c>
      <c r="O849" s="17" t="n">
        <f aca="false">K849*L849*(1-M849)</f>
        <v>5828.2035</v>
      </c>
      <c r="P849" s="17" t="n">
        <f aca="false">N849*L849</f>
        <v>3094.14</v>
      </c>
      <c r="Q849" s="17" t="n">
        <f aca="false">O849-P849</f>
        <v>2734.0635</v>
      </c>
      <c r="R849" s="15" t="s">
        <v>114</v>
      </c>
      <c r="S849" s="15" t="s">
        <v>124</v>
      </c>
    </row>
    <row r="850" customFormat="false" ht="15" hidden="false" customHeight="true" outlineLevel="0" collapsed="false">
      <c r="A850" s="11" t="s">
        <v>986</v>
      </c>
      <c r="B850" s="12" t="n">
        <v>45869</v>
      </c>
      <c r="C850" s="11" t="s">
        <v>65</v>
      </c>
      <c r="D850" s="11" t="s">
        <v>82</v>
      </c>
      <c r="E850" s="11" t="s">
        <v>83</v>
      </c>
      <c r="F850" s="11" t="s">
        <v>123</v>
      </c>
      <c r="G850" s="11" t="s">
        <v>52</v>
      </c>
      <c r="H850" s="11" t="s">
        <v>78</v>
      </c>
      <c r="I850" s="11" t="s">
        <v>120</v>
      </c>
      <c r="J850" s="11" t="s">
        <v>232</v>
      </c>
      <c r="K850" s="13" t="n">
        <v>220.56</v>
      </c>
      <c r="L850" s="11" t="n">
        <v>38</v>
      </c>
      <c r="M850" s="14" t="n">
        <v>0.05</v>
      </c>
      <c r="N850" s="13" t="n">
        <v>163.71</v>
      </c>
      <c r="O850" s="13" t="n">
        <f aca="false">K850*L850*(1-M850)</f>
        <v>7962.216</v>
      </c>
      <c r="P850" s="13" t="n">
        <f aca="false">N850*L850</f>
        <v>6220.98</v>
      </c>
      <c r="Q850" s="13" t="n">
        <f aca="false">O850-P850</f>
        <v>1741.236</v>
      </c>
      <c r="R850" s="11" t="s">
        <v>46</v>
      </c>
      <c r="S850" s="11" t="s">
        <v>47</v>
      </c>
    </row>
    <row r="851" customFormat="false" ht="15" hidden="false" customHeight="true" outlineLevel="0" collapsed="false">
      <c r="A851" s="15" t="s">
        <v>987</v>
      </c>
      <c r="B851" s="16" t="n">
        <v>45869</v>
      </c>
      <c r="C851" s="15" t="s">
        <v>65</v>
      </c>
      <c r="D851" s="15" t="s">
        <v>82</v>
      </c>
      <c r="E851" s="15" t="s">
        <v>83</v>
      </c>
      <c r="F851" s="15" t="s">
        <v>99</v>
      </c>
      <c r="G851" s="15" t="s">
        <v>42</v>
      </c>
      <c r="H851" s="15" t="s">
        <v>84</v>
      </c>
      <c r="I851" s="15" t="s">
        <v>85</v>
      </c>
      <c r="J851" s="15" t="s">
        <v>90</v>
      </c>
      <c r="K851" s="17" t="n">
        <v>617.59</v>
      </c>
      <c r="L851" s="15" t="n">
        <v>2</v>
      </c>
      <c r="M851" s="18" t="n">
        <v>0</v>
      </c>
      <c r="N851" s="17" t="n">
        <v>475.57</v>
      </c>
      <c r="O851" s="17" t="n">
        <f aca="false">K851*L851*(1-M851)</f>
        <v>1235.18</v>
      </c>
      <c r="P851" s="17" t="n">
        <f aca="false">N851*L851</f>
        <v>951.14</v>
      </c>
      <c r="Q851" s="17" t="n">
        <f aca="false">O851-P851</f>
        <v>284.04</v>
      </c>
      <c r="R851" s="15" t="s">
        <v>63</v>
      </c>
      <c r="S851" s="15" t="s">
        <v>47</v>
      </c>
    </row>
    <row r="852" customFormat="false" ht="15" hidden="false" customHeight="true" outlineLevel="0" collapsed="false">
      <c r="A852" s="11" t="s">
        <v>988</v>
      </c>
      <c r="B852" s="12" t="n">
        <v>45870</v>
      </c>
      <c r="C852" s="11" t="s">
        <v>74</v>
      </c>
      <c r="D852" s="11" t="s">
        <v>75</v>
      </c>
      <c r="E852" s="11" t="s">
        <v>76</v>
      </c>
      <c r="F852" s="11" t="s">
        <v>99</v>
      </c>
      <c r="G852" s="11" t="s">
        <v>52</v>
      </c>
      <c r="H852" s="11" t="s">
        <v>78</v>
      </c>
      <c r="I852" s="11" t="s">
        <v>154</v>
      </c>
      <c r="J852" s="11" t="s">
        <v>186</v>
      </c>
      <c r="K852" s="13" t="n">
        <v>1185.99</v>
      </c>
      <c r="L852" s="11" t="n">
        <v>10</v>
      </c>
      <c r="M852" s="14" t="n">
        <v>0.2</v>
      </c>
      <c r="N852" s="13" t="n">
        <v>972.53</v>
      </c>
      <c r="O852" s="13" t="n">
        <f aca="false">K852*L852*(1-M852)</f>
        <v>9487.92</v>
      </c>
      <c r="P852" s="13" t="n">
        <f aca="false">N852*L852</f>
        <v>9725.3</v>
      </c>
      <c r="Q852" s="13" t="n">
        <f aca="false">O852-P852</f>
        <v>-237.379999999999</v>
      </c>
      <c r="R852" s="11" t="s">
        <v>46</v>
      </c>
      <c r="S852" s="11" t="s">
        <v>47</v>
      </c>
    </row>
    <row r="853" customFormat="false" ht="15" hidden="false" customHeight="true" outlineLevel="0" collapsed="false">
      <c r="A853" s="15" t="s">
        <v>989</v>
      </c>
      <c r="B853" s="16" t="n">
        <v>45870</v>
      </c>
      <c r="C853" s="15" t="s">
        <v>49</v>
      </c>
      <c r="D853" s="15" t="s">
        <v>152</v>
      </c>
      <c r="E853" s="15" t="s">
        <v>152</v>
      </c>
      <c r="F853" s="15" t="s">
        <v>118</v>
      </c>
      <c r="G853" s="15" t="s">
        <v>52</v>
      </c>
      <c r="H853" s="15" t="s">
        <v>78</v>
      </c>
      <c r="I853" s="15" t="s">
        <v>79</v>
      </c>
      <c r="J853" s="15" t="s">
        <v>80</v>
      </c>
      <c r="K853" s="17" t="n">
        <v>3299.63</v>
      </c>
      <c r="L853" s="15" t="n">
        <v>13</v>
      </c>
      <c r="M853" s="18" t="n">
        <v>0</v>
      </c>
      <c r="N853" s="17" t="n">
        <v>2727.72</v>
      </c>
      <c r="O853" s="17" t="n">
        <f aca="false">K853*L853*(1-M853)</f>
        <v>42895.19</v>
      </c>
      <c r="P853" s="17" t="n">
        <f aca="false">N853*L853</f>
        <v>35460.36</v>
      </c>
      <c r="Q853" s="17" t="n">
        <f aca="false">O853-P853</f>
        <v>7434.83</v>
      </c>
      <c r="R853" s="15" t="s">
        <v>46</v>
      </c>
      <c r="S853" s="15" t="s">
        <v>124</v>
      </c>
    </row>
    <row r="854" customFormat="false" ht="15" hidden="false" customHeight="true" outlineLevel="0" collapsed="false">
      <c r="A854" s="11" t="s">
        <v>990</v>
      </c>
      <c r="B854" s="12" t="n">
        <v>45870</v>
      </c>
      <c r="C854" s="11" t="s">
        <v>65</v>
      </c>
      <c r="D854" s="11" t="s">
        <v>82</v>
      </c>
      <c r="E854" s="11" t="s">
        <v>83</v>
      </c>
      <c r="F854" s="11" t="s">
        <v>99</v>
      </c>
      <c r="G854" s="11" t="s">
        <v>42</v>
      </c>
      <c r="H854" s="11" t="s">
        <v>53</v>
      </c>
      <c r="I854" s="11" t="s">
        <v>54</v>
      </c>
      <c r="J854" s="11" t="s">
        <v>113</v>
      </c>
      <c r="K854" s="13" t="n">
        <v>11.34</v>
      </c>
      <c r="L854" s="11" t="n">
        <v>57</v>
      </c>
      <c r="M854" s="14" t="n">
        <v>0</v>
      </c>
      <c r="N854" s="13" t="n">
        <v>7.3</v>
      </c>
      <c r="O854" s="13" t="n">
        <f aca="false">K854*L854*(1-M854)</f>
        <v>646.38</v>
      </c>
      <c r="P854" s="13" t="n">
        <f aca="false">N854*L854</f>
        <v>416.1</v>
      </c>
      <c r="Q854" s="13" t="n">
        <f aca="false">O854-P854</f>
        <v>230.28</v>
      </c>
      <c r="R854" s="11" t="s">
        <v>46</v>
      </c>
      <c r="S854" s="11" t="s">
        <v>47</v>
      </c>
    </row>
    <row r="855" customFormat="false" ht="15" hidden="false" customHeight="true" outlineLevel="0" collapsed="false">
      <c r="A855" s="15" t="s">
        <v>991</v>
      </c>
      <c r="B855" s="16" t="n">
        <v>45871</v>
      </c>
      <c r="C855" s="15" t="s">
        <v>49</v>
      </c>
      <c r="D855" s="15" t="s">
        <v>97</v>
      </c>
      <c r="E855" s="15" t="s">
        <v>112</v>
      </c>
      <c r="F855" s="15" t="s">
        <v>123</v>
      </c>
      <c r="G855" s="15" t="s">
        <v>42</v>
      </c>
      <c r="H855" s="15" t="s">
        <v>78</v>
      </c>
      <c r="I855" s="15" t="s">
        <v>154</v>
      </c>
      <c r="J855" s="15" t="s">
        <v>155</v>
      </c>
      <c r="K855" s="17" t="n">
        <v>616.92</v>
      </c>
      <c r="L855" s="15" t="n">
        <v>3</v>
      </c>
      <c r="M855" s="18" t="n">
        <v>0.05</v>
      </c>
      <c r="N855" s="17" t="n">
        <v>522.95</v>
      </c>
      <c r="O855" s="17" t="n">
        <f aca="false">K855*L855*(1-M855)</f>
        <v>1758.222</v>
      </c>
      <c r="P855" s="17" t="n">
        <f aca="false">N855*L855</f>
        <v>1568.85</v>
      </c>
      <c r="Q855" s="17" t="n">
        <f aca="false">O855-P855</f>
        <v>189.372</v>
      </c>
      <c r="R855" s="15" t="s">
        <v>46</v>
      </c>
      <c r="S855" s="15" t="s">
        <v>47</v>
      </c>
    </row>
    <row r="856" customFormat="false" ht="15" hidden="false" customHeight="true" outlineLevel="0" collapsed="false">
      <c r="A856" s="11" t="s">
        <v>992</v>
      </c>
      <c r="B856" s="12" t="n">
        <v>45873</v>
      </c>
      <c r="C856" s="11" t="s">
        <v>65</v>
      </c>
      <c r="D856" s="11" t="s">
        <v>66</v>
      </c>
      <c r="E856" s="11" t="s">
        <v>67</v>
      </c>
      <c r="F856" s="11" t="s">
        <v>99</v>
      </c>
      <c r="G856" s="11" t="s">
        <v>130</v>
      </c>
      <c r="H856" s="11" t="s">
        <v>53</v>
      </c>
      <c r="I856" s="11" t="s">
        <v>94</v>
      </c>
      <c r="J856" s="11" t="s">
        <v>131</v>
      </c>
      <c r="K856" s="13" t="n">
        <v>29.04</v>
      </c>
      <c r="L856" s="11" t="n">
        <v>32</v>
      </c>
      <c r="M856" s="14" t="n">
        <v>0.15</v>
      </c>
      <c r="N856" s="13" t="n">
        <v>20.12</v>
      </c>
      <c r="O856" s="13" t="n">
        <f aca="false">K856*L856*(1-M856)</f>
        <v>789.888</v>
      </c>
      <c r="P856" s="13" t="n">
        <f aca="false">N856*L856</f>
        <v>643.84</v>
      </c>
      <c r="Q856" s="13" t="n">
        <f aca="false">O856-P856</f>
        <v>146.048</v>
      </c>
      <c r="R856" s="11" t="s">
        <v>114</v>
      </c>
      <c r="S856" s="11" t="s">
        <v>47</v>
      </c>
    </row>
    <row r="857" customFormat="false" ht="15" hidden="false" customHeight="true" outlineLevel="0" collapsed="false">
      <c r="A857" s="15" t="s">
        <v>993</v>
      </c>
      <c r="B857" s="16" t="n">
        <v>45874</v>
      </c>
      <c r="C857" s="15" t="s">
        <v>57</v>
      </c>
      <c r="D857" s="15" t="s">
        <v>103</v>
      </c>
      <c r="E857" s="15" t="s">
        <v>104</v>
      </c>
      <c r="F857" s="15" t="s">
        <v>41</v>
      </c>
      <c r="G857" s="15" t="s">
        <v>42</v>
      </c>
      <c r="H857" s="15" t="s">
        <v>78</v>
      </c>
      <c r="I857" s="15" t="s">
        <v>79</v>
      </c>
      <c r="J857" s="15" t="s">
        <v>216</v>
      </c>
      <c r="K857" s="17" t="n">
        <v>5665.32</v>
      </c>
      <c r="L857" s="15" t="n">
        <v>7</v>
      </c>
      <c r="M857" s="18" t="n">
        <v>0</v>
      </c>
      <c r="N857" s="17" t="n">
        <v>4647.9</v>
      </c>
      <c r="O857" s="17" t="n">
        <f aca="false">K857*L857*(1-M857)</f>
        <v>39657.24</v>
      </c>
      <c r="P857" s="17" t="n">
        <f aca="false">N857*L857</f>
        <v>32535.3</v>
      </c>
      <c r="Q857" s="17" t="n">
        <f aca="false">O857-P857</f>
        <v>7121.94</v>
      </c>
      <c r="R857" s="15" t="s">
        <v>46</v>
      </c>
      <c r="S857" s="15" t="s">
        <v>47</v>
      </c>
    </row>
    <row r="858" customFormat="false" ht="15" hidden="false" customHeight="true" outlineLevel="0" collapsed="false">
      <c r="A858" s="11" t="s">
        <v>994</v>
      </c>
      <c r="B858" s="12" t="n">
        <v>45874</v>
      </c>
      <c r="C858" s="11" t="s">
        <v>65</v>
      </c>
      <c r="D858" s="11" t="s">
        <v>116</v>
      </c>
      <c r="E858" s="11" t="s">
        <v>117</v>
      </c>
      <c r="F858" s="11" t="s">
        <v>60</v>
      </c>
      <c r="G858" s="11" t="s">
        <v>52</v>
      </c>
      <c r="H858" s="11" t="s">
        <v>78</v>
      </c>
      <c r="I858" s="11" t="s">
        <v>143</v>
      </c>
      <c r="J858" s="11" t="s">
        <v>158</v>
      </c>
      <c r="K858" s="13" t="n">
        <v>792.52</v>
      </c>
      <c r="L858" s="11" t="n">
        <v>23</v>
      </c>
      <c r="M858" s="14" t="n">
        <v>0</v>
      </c>
      <c r="N858" s="13" t="n">
        <v>666.01</v>
      </c>
      <c r="O858" s="13" t="n">
        <f aca="false">K858*L858*(1-M858)</f>
        <v>18227.96</v>
      </c>
      <c r="P858" s="13" t="n">
        <f aca="false">N858*L858</f>
        <v>15318.23</v>
      </c>
      <c r="Q858" s="13" t="n">
        <f aca="false">O858-P858</f>
        <v>2909.73</v>
      </c>
      <c r="R858" s="11" t="s">
        <v>71</v>
      </c>
      <c r="S858" s="11" t="s">
        <v>47</v>
      </c>
    </row>
    <row r="859" customFormat="false" ht="15" hidden="false" customHeight="true" outlineLevel="0" collapsed="false">
      <c r="A859" s="15" t="s">
        <v>995</v>
      </c>
      <c r="B859" s="16" t="n">
        <v>45874</v>
      </c>
      <c r="C859" s="15" t="s">
        <v>49</v>
      </c>
      <c r="D859" s="15" t="s">
        <v>97</v>
      </c>
      <c r="E859" s="15" t="s">
        <v>108</v>
      </c>
      <c r="F859" s="15" t="s">
        <v>41</v>
      </c>
      <c r="G859" s="15" t="s">
        <v>52</v>
      </c>
      <c r="H859" s="15" t="s">
        <v>53</v>
      </c>
      <c r="I859" s="15" t="s">
        <v>94</v>
      </c>
      <c r="J859" s="15" t="s">
        <v>95</v>
      </c>
      <c r="K859" s="17" t="n">
        <v>40.88</v>
      </c>
      <c r="L859" s="15" t="n">
        <v>118</v>
      </c>
      <c r="M859" s="18" t="n">
        <v>0</v>
      </c>
      <c r="N859" s="17" t="n">
        <v>23.62</v>
      </c>
      <c r="O859" s="17" t="n">
        <f aca="false">K859*L859*(1-M859)</f>
        <v>4823.84</v>
      </c>
      <c r="P859" s="17" t="n">
        <f aca="false">N859*L859</f>
        <v>2787.16</v>
      </c>
      <c r="Q859" s="17" t="n">
        <f aca="false">O859-P859</f>
        <v>2036.68</v>
      </c>
      <c r="R859" s="15" t="s">
        <v>114</v>
      </c>
      <c r="S859" s="15" t="s">
        <v>72</v>
      </c>
    </row>
    <row r="860" customFormat="false" ht="15" hidden="false" customHeight="true" outlineLevel="0" collapsed="false">
      <c r="A860" s="11" t="s">
        <v>996</v>
      </c>
      <c r="B860" s="12" t="n">
        <v>45876</v>
      </c>
      <c r="C860" s="11" t="s">
        <v>57</v>
      </c>
      <c r="D860" s="11" t="s">
        <v>103</v>
      </c>
      <c r="E860" s="11" t="s">
        <v>104</v>
      </c>
      <c r="F860" s="11" t="s">
        <v>109</v>
      </c>
      <c r="G860" s="11" t="s">
        <v>42</v>
      </c>
      <c r="H860" s="11" t="s">
        <v>53</v>
      </c>
      <c r="I860" s="11" t="s">
        <v>69</v>
      </c>
      <c r="J860" s="11" t="s">
        <v>70</v>
      </c>
      <c r="K860" s="13" t="n">
        <v>32.81</v>
      </c>
      <c r="L860" s="11" t="n">
        <v>79</v>
      </c>
      <c r="M860" s="14" t="n">
        <v>0</v>
      </c>
      <c r="N860" s="13" t="n">
        <v>21.77</v>
      </c>
      <c r="O860" s="13" t="n">
        <f aca="false">K860*L860*(1-M860)</f>
        <v>2591.99</v>
      </c>
      <c r="P860" s="13" t="n">
        <f aca="false">N860*L860</f>
        <v>1719.83</v>
      </c>
      <c r="Q860" s="13" t="n">
        <f aca="false">O860-P860</f>
        <v>872.16</v>
      </c>
      <c r="R860" s="11" t="s">
        <v>46</v>
      </c>
      <c r="S860" s="11" t="s">
        <v>72</v>
      </c>
    </row>
    <row r="861" customFormat="false" ht="15" hidden="false" customHeight="true" outlineLevel="0" collapsed="false">
      <c r="A861" s="15" t="s">
        <v>997</v>
      </c>
      <c r="B861" s="16" t="n">
        <v>45876</v>
      </c>
      <c r="C861" s="15" t="s">
        <v>74</v>
      </c>
      <c r="D861" s="15" t="s">
        <v>75</v>
      </c>
      <c r="E861" s="15" t="s">
        <v>76</v>
      </c>
      <c r="F861" s="15" t="s">
        <v>118</v>
      </c>
      <c r="G861" s="15" t="s">
        <v>52</v>
      </c>
      <c r="H861" s="15" t="s">
        <v>53</v>
      </c>
      <c r="I861" s="15" t="s">
        <v>94</v>
      </c>
      <c r="J861" s="15" t="s">
        <v>95</v>
      </c>
      <c r="K861" s="17" t="n">
        <v>40.84</v>
      </c>
      <c r="L861" s="15" t="n">
        <v>7</v>
      </c>
      <c r="M861" s="18" t="n">
        <v>0.1</v>
      </c>
      <c r="N861" s="17" t="n">
        <v>27.87</v>
      </c>
      <c r="O861" s="17" t="n">
        <f aca="false">K861*L861*(1-M861)</f>
        <v>257.292</v>
      </c>
      <c r="P861" s="17" t="n">
        <f aca="false">N861*L861</f>
        <v>195.09</v>
      </c>
      <c r="Q861" s="17" t="n">
        <f aca="false">O861-P861</f>
        <v>62.202</v>
      </c>
      <c r="R861" s="15" t="s">
        <v>114</v>
      </c>
      <c r="S861" s="15" t="s">
        <v>47</v>
      </c>
    </row>
    <row r="862" customFormat="false" ht="15" hidden="false" customHeight="true" outlineLevel="0" collapsed="false">
      <c r="A862" s="11" t="s">
        <v>998</v>
      </c>
      <c r="B862" s="12" t="n">
        <v>45876</v>
      </c>
      <c r="C862" s="11" t="s">
        <v>49</v>
      </c>
      <c r="D862" s="11" t="s">
        <v>97</v>
      </c>
      <c r="E862" s="11" t="s">
        <v>112</v>
      </c>
      <c r="F862" s="11" t="s">
        <v>51</v>
      </c>
      <c r="G862" s="11" t="s">
        <v>52</v>
      </c>
      <c r="H862" s="11" t="s">
        <v>78</v>
      </c>
      <c r="I862" s="11" t="s">
        <v>79</v>
      </c>
      <c r="J862" s="11" t="s">
        <v>216</v>
      </c>
      <c r="K862" s="13" t="n">
        <v>4130.75</v>
      </c>
      <c r="L862" s="11" t="n">
        <v>10</v>
      </c>
      <c r="M862" s="14" t="n">
        <v>0</v>
      </c>
      <c r="N862" s="13" t="n">
        <v>3379.36</v>
      </c>
      <c r="O862" s="13" t="n">
        <f aca="false">K862*L862*(1-M862)</f>
        <v>41307.5</v>
      </c>
      <c r="P862" s="13" t="n">
        <f aca="false">N862*L862</f>
        <v>33793.6</v>
      </c>
      <c r="Q862" s="13" t="n">
        <f aca="false">O862-P862</f>
        <v>7513.9</v>
      </c>
      <c r="R862" s="11" t="s">
        <v>46</v>
      </c>
      <c r="S862" s="11" t="s">
        <v>47</v>
      </c>
    </row>
    <row r="863" customFormat="false" ht="15" hidden="false" customHeight="true" outlineLevel="0" collapsed="false">
      <c r="A863" s="15" t="s">
        <v>999</v>
      </c>
      <c r="B863" s="16" t="n">
        <v>45877</v>
      </c>
      <c r="C863" s="15" t="s">
        <v>49</v>
      </c>
      <c r="D863" s="15" t="s">
        <v>97</v>
      </c>
      <c r="E863" s="15" t="s">
        <v>98</v>
      </c>
      <c r="F863" s="15" t="s">
        <v>99</v>
      </c>
      <c r="G863" s="15" t="s">
        <v>130</v>
      </c>
      <c r="H863" s="15" t="s">
        <v>84</v>
      </c>
      <c r="I863" s="15" t="s">
        <v>100</v>
      </c>
      <c r="J863" s="15" t="s">
        <v>101</v>
      </c>
      <c r="K863" s="17" t="n">
        <v>1783.62</v>
      </c>
      <c r="L863" s="15" t="n">
        <v>11</v>
      </c>
      <c r="M863" s="18" t="n">
        <v>0.1</v>
      </c>
      <c r="N863" s="17" t="n">
        <v>1476.17</v>
      </c>
      <c r="O863" s="17" t="n">
        <f aca="false">K863*L863*(1-M863)</f>
        <v>17657.838</v>
      </c>
      <c r="P863" s="17" t="n">
        <f aca="false">N863*L863</f>
        <v>16237.87</v>
      </c>
      <c r="Q863" s="17" t="n">
        <f aca="false">O863-P863</f>
        <v>1419.968</v>
      </c>
      <c r="R863" s="15" t="s">
        <v>71</v>
      </c>
      <c r="S863" s="15" t="s">
        <v>47</v>
      </c>
    </row>
    <row r="864" customFormat="false" ht="15" hidden="false" customHeight="true" outlineLevel="0" collapsed="false">
      <c r="A864" s="11" t="s">
        <v>1000</v>
      </c>
      <c r="B864" s="12" t="n">
        <v>45877</v>
      </c>
      <c r="C864" s="11" t="s">
        <v>38</v>
      </c>
      <c r="D864" s="11" t="s">
        <v>92</v>
      </c>
      <c r="E864" s="11" t="s">
        <v>93</v>
      </c>
      <c r="F864" s="11" t="s">
        <v>51</v>
      </c>
      <c r="G864" s="11" t="s">
        <v>52</v>
      </c>
      <c r="H864" s="11" t="s">
        <v>78</v>
      </c>
      <c r="I864" s="11" t="s">
        <v>120</v>
      </c>
      <c r="J864" s="11" t="s">
        <v>235</v>
      </c>
      <c r="K864" s="13" t="n">
        <v>118.17</v>
      </c>
      <c r="L864" s="11" t="n">
        <v>56</v>
      </c>
      <c r="M864" s="14" t="n">
        <v>0.05</v>
      </c>
      <c r="N864" s="13" t="n">
        <v>85.82</v>
      </c>
      <c r="O864" s="13" t="n">
        <f aca="false">K864*L864*(1-M864)</f>
        <v>6286.644</v>
      </c>
      <c r="P864" s="13" t="n">
        <f aca="false">N864*L864</f>
        <v>4805.92</v>
      </c>
      <c r="Q864" s="13" t="n">
        <f aca="false">O864-P864</f>
        <v>1480.724</v>
      </c>
      <c r="R864" s="11" t="s">
        <v>46</v>
      </c>
      <c r="S864" s="11" t="s">
        <v>47</v>
      </c>
    </row>
    <row r="865" customFormat="false" ht="15" hidden="false" customHeight="true" outlineLevel="0" collapsed="false">
      <c r="A865" s="15" t="s">
        <v>1001</v>
      </c>
      <c r="B865" s="16" t="n">
        <v>45877</v>
      </c>
      <c r="C865" s="15" t="s">
        <v>38</v>
      </c>
      <c r="D865" s="15" t="s">
        <v>39</v>
      </c>
      <c r="E865" s="15" t="s">
        <v>40</v>
      </c>
      <c r="F865" s="15" t="s">
        <v>60</v>
      </c>
      <c r="G865" s="15" t="s">
        <v>77</v>
      </c>
      <c r="H865" s="15" t="s">
        <v>84</v>
      </c>
      <c r="I865" s="15" t="s">
        <v>136</v>
      </c>
      <c r="J865" s="15" t="s">
        <v>247</v>
      </c>
      <c r="K865" s="17" t="n">
        <v>896.34</v>
      </c>
      <c r="L865" s="15" t="n">
        <v>8</v>
      </c>
      <c r="M865" s="18" t="n">
        <v>0</v>
      </c>
      <c r="N865" s="17" t="n">
        <v>693.36</v>
      </c>
      <c r="O865" s="17" t="n">
        <f aca="false">K865*L865*(1-M865)</f>
        <v>7170.72</v>
      </c>
      <c r="P865" s="17" t="n">
        <f aca="false">N865*L865</f>
        <v>5546.88</v>
      </c>
      <c r="Q865" s="17" t="n">
        <f aca="false">O865-P865</f>
        <v>1623.84</v>
      </c>
      <c r="R865" s="15" t="s">
        <v>46</v>
      </c>
      <c r="S865" s="15" t="s">
        <v>47</v>
      </c>
    </row>
    <row r="866" customFormat="false" ht="15" hidden="false" customHeight="true" outlineLevel="0" collapsed="false">
      <c r="A866" s="11" t="s">
        <v>1002</v>
      </c>
      <c r="B866" s="12" t="n">
        <v>45878</v>
      </c>
      <c r="C866" s="11" t="s">
        <v>65</v>
      </c>
      <c r="D866" s="11" t="s">
        <v>116</v>
      </c>
      <c r="E866" s="11" t="s">
        <v>117</v>
      </c>
      <c r="F866" s="11" t="s">
        <v>123</v>
      </c>
      <c r="G866" s="11" t="s">
        <v>42</v>
      </c>
      <c r="H866" s="11" t="s">
        <v>84</v>
      </c>
      <c r="I866" s="11" t="s">
        <v>85</v>
      </c>
      <c r="J866" s="11" t="s">
        <v>86</v>
      </c>
      <c r="K866" s="13" t="n">
        <v>323.32</v>
      </c>
      <c r="L866" s="11" t="n">
        <v>10</v>
      </c>
      <c r="M866" s="14" t="n">
        <v>0</v>
      </c>
      <c r="N866" s="13" t="n">
        <v>240.42</v>
      </c>
      <c r="O866" s="13" t="n">
        <f aca="false">K866*L866*(1-M866)</f>
        <v>3233.2</v>
      </c>
      <c r="P866" s="13" t="n">
        <f aca="false">N866*L866</f>
        <v>2404.2</v>
      </c>
      <c r="Q866" s="13" t="n">
        <f aca="false">O866-P866</f>
        <v>829</v>
      </c>
      <c r="R866" s="11" t="s">
        <v>63</v>
      </c>
      <c r="S866" s="11" t="s">
        <v>72</v>
      </c>
    </row>
    <row r="867" customFormat="false" ht="15" hidden="false" customHeight="true" outlineLevel="0" collapsed="false">
      <c r="A867" s="15" t="s">
        <v>1003</v>
      </c>
      <c r="B867" s="16" t="n">
        <v>45879</v>
      </c>
      <c r="C867" s="15" t="s">
        <v>38</v>
      </c>
      <c r="D867" s="15" t="s">
        <v>39</v>
      </c>
      <c r="E867" s="15" t="s">
        <v>40</v>
      </c>
      <c r="F867" s="15" t="s">
        <v>51</v>
      </c>
      <c r="G867" s="15" t="s">
        <v>42</v>
      </c>
      <c r="H867" s="15" t="s">
        <v>43</v>
      </c>
      <c r="I867" s="15" t="s">
        <v>44</v>
      </c>
      <c r="J867" s="15" t="s">
        <v>45</v>
      </c>
      <c r="K867" s="17" t="n">
        <v>277.59</v>
      </c>
      <c r="L867" s="15" t="n">
        <v>25</v>
      </c>
      <c r="M867" s="18" t="n">
        <v>0.15</v>
      </c>
      <c r="N867" s="17" t="n">
        <v>114.8</v>
      </c>
      <c r="O867" s="17" t="n">
        <f aca="false">K867*L867*(1-M867)</f>
        <v>5898.7875</v>
      </c>
      <c r="P867" s="17" t="n">
        <f aca="false">N867*L867</f>
        <v>2870</v>
      </c>
      <c r="Q867" s="17" t="n">
        <f aca="false">O867-P867</f>
        <v>3028.7875</v>
      </c>
      <c r="R867" s="15" t="s">
        <v>71</v>
      </c>
      <c r="S867" s="15" t="s">
        <v>72</v>
      </c>
    </row>
    <row r="868" customFormat="false" ht="15" hidden="false" customHeight="true" outlineLevel="0" collapsed="false">
      <c r="A868" s="11" t="s">
        <v>1004</v>
      </c>
      <c r="B868" s="12" t="n">
        <v>45880</v>
      </c>
      <c r="C868" s="11" t="s">
        <v>74</v>
      </c>
      <c r="D868" s="11" t="s">
        <v>171</v>
      </c>
      <c r="E868" s="11" t="s">
        <v>172</v>
      </c>
      <c r="F868" s="11" t="s">
        <v>60</v>
      </c>
      <c r="G868" s="11" t="s">
        <v>42</v>
      </c>
      <c r="H868" s="11" t="s">
        <v>53</v>
      </c>
      <c r="I868" s="11" t="s">
        <v>69</v>
      </c>
      <c r="J868" s="11" t="s">
        <v>128</v>
      </c>
      <c r="K868" s="13" t="n">
        <v>18.14</v>
      </c>
      <c r="L868" s="11" t="n">
        <v>43</v>
      </c>
      <c r="M868" s="14" t="n">
        <v>0</v>
      </c>
      <c r="N868" s="13" t="n">
        <v>13.23</v>
      </c>
      <c r="O868" s="13" t="n">
        <f aca="false">K868*L868*(1-M868)</f>
        <v>780.02</v>
      </c>
      <c r="P868" s="13" t="n">
        <f aca="false">N868*L868</f>
        <v>568.89</v>
      </c>
      <c r="Q868" s="13" t="n">
        <f aca="false">O868-P868</f>
        <v>211.13</v>
      </c>
      <c r="R868" s="11" t="s">
        <v>46</v>
      </c>
      <c r="S868" s="11" t="s">
        <v>47</v>
      </c>
    </row>
    <row r="869" customFormat="false" ht="15" hidden="false" customHeight="true" outlineLevel="0" collapsed="false">
      <c r="A869" s="15" t="s">
        <v>1005</v>
      </c>
      <c r="B869" s="16" t="n">
        <v>45881</v>
      </c>
      <c r="C869" s="15" t="s">
        <v>38</v>
      </c>
      <c r="D869" s="15" t="s">
        <v>88</v>
      </c>
      <c r="E869" s="15" t="s">
        <v>89</v>
      </c>
      <c r="F869" s="15" t="s">
        <v>60</v>
      </c>
      <c r="G869" s="15" t="s">
        <v>126</v>
      </c>
      <c r="H869" s="15" t="s">
        <v>78</v>
      </c>
      <c r="I869" s="15" t="s">
        <v>120</v>
      </c>
      <c r="J869" s="15" t="s">
        <v>232</v>
      </c>
      <c r="K869" s="17" t="n">
        <v>261.74</v>
      </c>
      <c r="L869" s="15" t="n">
        <v>20</v>
      </c>
      <c r="M869" s="18" t="n">
        <v>0.05</v>
      </c>
      <c r="N869" s="17" t="n">
        <v>199.39</v>
      </c>
      <c r="O869" s="17" t="n">
        <f aca="false">K869*L869*(1-M869)</f>
        <v>4973.06</v>
      </c>
      <c r="P869" s="17" t="n">
        <f aca="false">N869*L869</f>
        <v>3987.8</v>
      </c>
      <c r="Q869" s="17" t="n">
        <f aca="false">O869-P869</f>
        <v>985.26</v>
      </c>
      <c r="R869" s="15" t="s">
        <v>71</v>
      </c>
      <c r="S869" s="15" t="s">
        <v>72</v>
      </c>
    </row>
    <row r="870" customFormat="false" ht="15" hidden="false" customHeight="true" outlineLevel="0" collapsed="false">
      <c r="A870" s="11" t="s">
        <v>1006</v>
      </c>
      <c r="B870" s="12" t="n">
        <v>45881</v>
      </c>
      <c r="C870" s="11" t="s">
        <v>57</v>
      </c>
      <c r="D870" s="11" t="s">
        <v>162</v>
      </c>
      <c r="E870" s="11" t="s">
        <v>163</v>
      </c>
      <c r="F870" s="11" t="s">
        <v>51</v>
      </c>
      <c r="G870" s="11" t="s">
        <v>126</v>
      </c>
      <c r="H870" s="11" t="s">
        <v>78</v>
      </c>
      <c r="I870" s="11" t="s">
        <v>79</v>
      </c>
      <c r="J870" s="11" t="s">
        <v>80</v>
      </c>
      <c r="K870" s="13" t="n">
        <v>3168.73</v>
      </c>
      <c r="L870" s="11" t="n">
        <v>9</v>
      </c>
      <c r="M870" s="14" t="n">
        <v>0.1</v>
      </c>
      <c r="N870" s="13" t="n">
        <v>2654.09</v>
      </c>
      <c r="O870" s="13" t="n">
        <f aca="false">K870*L870*(1-M870)</f>
        <v>25666.713</v>
      </c>
      <c r="P870" s="13" t="n">
        <f aca="false">N870*L870</f>
        <v>23886.81</v>
      </c>
      <c r="Q870" s="13" t="n">
        <f aca="false">O870-P870</f>
        <v>1779.903</v>
      </c>
      <c r="R870" s="11" t="s">
        <v>46</v>
      </c>
      <c r="S870" s="11" t="s">
        <v>72</v>
      </c>
    </row>
    <row r="871" customFormat="false" ht="15" hidden="false" customHeight="true" outlineLevel="0" collapsed="false">
      <c r="A871" s="15" t="s">
        <v>1007</v>
      </c>
      <c r="B871" s="16" t="n">
        <v>45881</v>
      </c>
      <c r="C871" s="15" t="s">
        <v>74</v>
      </c>
      <c r="D871" s="15" t="s">
        <v>171</v>
      </c>
      <c r="E871" s="15" t="s">
        <v>172</v>
      </c>
      <c r="F871" s="15" t="s">
        <v>135</v>
      </c>
      <c r="G871" s="15" t="s">
        <v>77</v>
      </c>
      <c r="H871" s="15" t="s">
        <v>84</v>
      </c>
      <c r="I871" s="15" t="s">
        <v>100</v>
      </c>
      <c r="J871" s="15" t="s">
        <v>101</v>
      </c>
      <c r="K871" s="17" t="n">
        <v>1442.19</v>
      </c>
      <c r="L871" s="15" t="n">
        <v>14</v>
      </c>
      <c r="M871" s="18" t="n">
        <v>0.1</v>
      </c>
      <c r="N871" s="17" t="n">
        <v>1138.41</v>
      </c>
      <c r="O871" s="17" t="n">
        <f aca="false">K871*L871*(1-M871)</f>
        <v>18171.594</v>
      </c>
      <c r="P871" s="17" t="n">
        <f aca="false">N871*L871</f>
        <v>15937.74</v>
      </c>
      <c r="Q871" s="17" t="n">
        <f aca="false">O871-P871</f>
        <v>2233.854</v>
      </c>
      <c r="R871" s="15" t="s">
        <v>63</v>
      </c>
      <c r="S871" s="15" t="s">
        <v>47</v>
      </c>
    </row>
    <row r="872" customFormat="false" ht="15" hidden="false" customHeight="true" outlineLevel="0" collapsed="false">
      <c r="A872" s="11" t="s">
        <v>1008</v>
      </c>
      <c r="B872" s="12" t="n">
        <v>45882</v>
      </c>
      <c r="C872" s="11" t="s">
        <v>49</v>
      </c>
      <c r="D872" s="11" t="s">
        <v>50</v>
      </c>
      <c r="E872" s="11" t="s">
        <v>50</v>
      </c>
      <c r="F872" s="11" t="s">
        <v>109</v>
      </c>
      <c r="G872" s="11" t="s">
        <v>77</v>
      </c>
      <c r="H872" s="11" t="s">
        <v>78</v>
      </c>
      <c r="I872" s="11" t="s">
        <v>154</v>
      </c>
      <c r="J872" s="11" t="s">
        <v>155</v>
      </c>
      <c r="K872" s="13" t="n">
        <v>651.81</v>
      </c>
      <c r="L872" s="11" t="n">
        <v>22</v>
      </c>
      <c r="M872" s="14" t="n">
        <v>0</v>
      </c>
      <c r="N872" s="13" t="n">
        <v>532.06</v>
      </c>
      <c r="O872" s="13" t="n">
        <f aca="false">K872*L872*(1-M872)</f>
        <v>14339.82</v>
      </c>
      <c r="P872" s="13" t="n">
        <f aca="false">N872*L872</f>
        <v>11705.32</v>
      </c>
      <c r="Q872" s="13" t="n">
        <f aca="false">O872-P872</f>
        <v>2634.5</v>
      </c>
      <c r="R872" s="11" t="s">
        <v>114</v>
      </c>
      <c r="S872" s="11" t="s">
        <v>47</v>
      </c>
    </row>
    <row r="873" customFormat="false" ht="15" hidden="false" customHeight="true" outlineLevel="0" collapsed="false">
      <c r="A873" s="15" t="s">
        <v>1009</v>
      </c>
      <c r="B873" s="16" t="n">
        <v>45883</v>
      </c>
      <c r="C873" s="15" t="s">
        <v>65</v>
      </c>
      <c r="D873" s="15" t="s">
        <v>66</v>
      </c>
      <c r="E873" s="15" t="s">
        <v>67</v>
      </c>
      <c r="F873" s="15" t="s">
        <v>135</v>
      </c>
      <c r="G873" s="15" t="s">
        <v>77</v>
      </c>
      <c r="H873" s="15" t="s">
        <v>78</v>
      </c>
      <c r="I873" s="15" t="s">
        <v>154</v>
      </c>
      <c r="J873" s="15" t="s">
        <v>186</v>
      </c>
      <c r="K873" s="17" t="n">
        <v>591.44</v>
      </c>
      <c r="L873" s="15" t="n">
        <v>19</v>
      </c>
      <c r="M873" s="18" t="n">
        <v>0</v>
      </c>
      <c r="N873" s="17" t="n">
        <v>501.78</v>
      </c>
      <c r="O873" s="17" t="n">
        <f aca="false">K873*L873*(1-M873)</f>
        <v>11237.36</v>
      </c>
      <c r="P873" s="17" t="n">
        <f aca="false">N873*L873</f>
        <v>9533.82</v>
      </c>
      <c r="Q873" s="17" t="n">
        <f aca="false">O873-P873</f>
        <v>1703.54</v>
      </c>
      <c r="R873" s="15" t="s">
        <v>63</v>
      </c>
      <c r="S873" s="15" t="s">
        <v>47</v>
      </c>
    </row>
    <row r="874" customFormat="false" ht="15" hidden="false" customHeight="true" outlineLevel="0" collapsed="false">
      <c r="A874" s="11" t="s">
        <v>1010</v>
      </c>
      <c r="B874" s="12" t="n">
        <v>45883</v>
      </c>
      <c r="C874" s="11" t="s">
        <v>38</v>
      </c>
      <c r="D874" s="11" t="s">
        <v>39</v>
      </c>
      <c r="E874" s="11" t="s">
        <v>40</v>
      </c>
      <c r="F874" s="11" t="s">
        <v>68</v>
      </c>
      <c r="G874" s="11" t="s">
        <v>42</v>
      </c>
      <c r="H874" s="11" t="s">
        <v>78</v>
      </c>
      <c r="I874" s="11" t="s">
        <v>120</v>
      </c>
      <c r="J874" s="11" t="s">
        <v>121</v>
      </c>
      <c r="K874" s="13" t="n">
        <v>256.64</v>
      </c>
      <c r="L874" s="11" t="n">
        <v>57</v>
      </c>
      <c r="M874" s="14" t="n">
        <v>0.05</v>
      </c>
      <c r="N874" s="13" t="n">
        <v>209.61</v>
      </c>
      <c r="O874" s="13" t="n">
        <f aca="false">K874*L874*(1-M874)</f>
        <v>13897.056</v>
      </c>
      <c r="P874" s="13" t="n">
        <f aca="false">N874*L874</f>
        <v>11947.77</v>
      </c>
      <c r="Q874" s="13" t="n">
        <f aca="false">O874-P874</f>
        <v>1949.286</v>
      </c>
      <c r="R874" s="11" t="s">
        <v>63</v>
      </c>
      <c r="S874" s="11" t="s">
        <v>47</v>
      </c>
    </row>
    <row r="875" customFormat="false" ht="15" hidden="false" customHeight="true" outlineLevel="0" collapsed="false">
      <c r="A875" s="15" t="s">
        <v>1011</v>
      </c>
      <c r="B875" s="16" t="n">
        <v>45883</v>
      </c>
      <c r="C875" s="15" t="s">
        <v>74</v>
      </c>
      <c r="D875" s="15" t="s">
        <v>75</v>
      </c>
      <c r="E875" s="15" t="s">
        <v>76</v>
      </c>
      <c r="F875" s="15" t="s">
        <v>51</v>
      </c>
      <c r="G875" s="15" t="s">
        <v>42</v>
      </c>
      <c r="H875" s="15" t="s">
        <v>78</v>
      </c>
      <c r="I875" s="15" t="s">
        <v>143</v>
      </c>
      <c r="J875" s="15" t="s">
        <v>144</v>
      </c>
      <c r="K875" s="17" t="n">
        <v>1261.68</v>
      </c>
      <c r="L875" s="15" t="n">
        <v>5</v>
      </c>
      <c r="M875" s="18" t="n">
        <v>0.05</v>
      </c>
      <c r="N875" s="17" t="n">
        <v>1047.84</v>
      </c>
      <c r="O875" s="17" t="n">
        <f aca="false">K875*L875*(1-M875)</f>
        <v>5992.98</v>
      </c>
      <c r="P875" s="17" t="n">
        <f aca="false">N875*L875</f>
        <v>5239.2</v>
      </c>
      <c r="Q875" s="17" t="n">
        <f aca="false">O875-P875</f>
        <v>753.780000000001</v>
      </c>
      <c r="R875" s="15" t="s">
        <v>114</v>
      </c>
      <c r="S875" s="15" t="s">
        <v>72</v>
      </c>
    </row>
    <row r="876" customFormat="false" ht="15" hidden="false" customHeight="true" outlineLevel="0" collapsed="false">
      <c r="A876" s="11" t="s">
        <v>1012</v>
      </c>
      <c r="B876" s="12" t="n">
        <v>45885</v>
      </c>
      <c r="C876" s="11" t="s">
        <v>49</v>
      </c>
      <c r="D876" s="11" t="s">
        <v>97</v>
      </c>
      <c r="E876" s="11" t="s">
        <v>98</v>
      </c>
      <c r="F876" s="11" t="s">
        <v>177</v>
      </c>
      <c r="G876" s="11" t="s">
        <v>126</v>
      </c>
      <c r="H876" s="11" t="s">
        <v>53</v>
      </c>
      <c r="I876" s="11" t="s">
        <v>54</v>
      </c>
      <c r="J876" s="11" t="s">
        <v>113</v>
      </c>
      <c r="K876" s="13" t="n">
        <v>21.48</v>
      </c>
      <c r="L876" s="11" t="n">
        <v>92</v>
      </c>
      <c r="M876" s="14" t="n">
        <v>0</v>
      </c>
      <c r="N876" s="13" t="n">
        <v>15.35</v>
      </c>
      <c r="O876" s="13" t="n">
        <f aca="false">K876*L876*(1-M876)</f>
        <v>1976.16</v>
      </c>
      <c r="P876" s="13" t="n">
        <f aca="false">N876*L876</f>
        <v>1412.2</v>
      </c>
      <c r="Q876" s="13" t="n">
        <f aca="false">O876-P876</f>
        <v>563.96</v>
      </c>
      <c r="R876" s="11" t="s">
        <v>114</v>
      </c>
      <c r="S876" s="11" t="s">
        <v>47</v>
      </c>
    </row>
    <row r="877" customFormat="false" ht="15" hidden="false" customHeight="true" outlineLevel="0" collapsed="false">
      <c r="A877" s="15" t="s">
        <v>1013</v>
      </c>
      <c r="B877" s="16" t="n">
        <v>45885</v>
      </c>
      <c r="C877" s="15" t="s">
        <v>49</v>
      </c>
      <c r="D877" s="15" t="s">
        <v>50</v>
      </c>
      <c r="E877" s="15" t="s">
        <v>50</v>
      </c>
      <c r="F877" s="15" t="s">
        <v>118</v>
      </c>
      <c r="G877" s="15" t="s">
        <v>52</v>
      </c>
      <c r="H877" s="15" t="s">
        <v>53</v>
      </c>
      <c r="I877" s="15" t="s">
        <v>69</v>
      </c>
      <c r="J877" s="15" t="s">
        <v>128</v>
      </c>
      <c r="K877" s="17" t="n">
        <v>16.23</v>
      </c>
      <c r="L877" s="15" t="n">
        <v>193</v>
      </c>
      <c r="M877" s="18" t="n">
        <v>0</v>
      </c>
      <c r="N877" s="17" t="n">
        <v>10.61</v>
      </c>
      <c r="O877" s="17" t="n">
        <f aca="false">K877*L877*(1-M877)</f>
        <v>3132.39</v>
      </c>
      <c r="P877" s="17" t="n">
        <f aca="false">N877*L877</f>
        <v>2047.73</v>
      </c>
      <c r="Q877" s="17" t="n">
        <f aca="false">O877-P877</f>
        <v>1084.66</v>
      </c>
      <c r="R877" s="15" t="s">
        <v>167</v>
      </c>
      <c r="S877" s="15" t="s">
        <v>47</v>
      </c>
    </row>
    <row r="878" customFormat="false" ht="15" hidden="false" customHeight="true" outlineLevel="0" collapsed="false">
      <c r="A878" s="11" t="s">
        <v>1014</v>
      </c>
      <c r="B878" s="12" t="n">
        <v>45885</v>
      </c>
      <c r="C878" s="11" t="s">
        <v>49</v>
      </c>
      <c r="D878" s="11" t="s">
        <v>50</v>
      </c>
      <c r="E878" s="11" t="s">
        <v>50</v>
      </c>
      <c r="F878" s="11" t="s">
        <v>51</v>
      </c>
      <c r="G878" s="11" t="s">
        <v>126</v>
      </c>
      <c r="H878" s="11" t="s">
        <v>78</v>
      </c>
      <c r="I878" s="11" t="s">
        <v>143</v>
      </c>
      <c r="J878" s="11" t="s">
        <v>144</v>
      </c>
      <c r="K878" s="13" t="n">
        <v>1263.61</v>
      </c>
      <c r="L878" s="11" t="n">
        <v>18</v>
      </c>
      <c r="M878" s="14" t="n">
        <v>0.1</v>
      </c>
      <c r="N878" s="13" t="n">
        <v>1058.65</v>
      </c>
      <c r="O878" s="13" t="n">
        <f aca="false">K878*L878*(1-M878)</f>
        <v>20470.482</v>
      </c>
      <c r="P878" s="13" t="n">
        <f aca="false">N878*L878</f>
        <v>19055.7</v>
      </c>
      <c r="Q878" s="13" t="n">
        <f aca="false">O878-P878</f>
        <v>1414.782</v>
      </c>
      <c r="R878" s="11" t="s">
        <v>63</v>
      </c>
      <c r="S878" s="11" t="s">
        <v>47</v>
      </c>
    </row>
    <row r="879" customFormat="false" ht="15" hidden="false" customHeight="true" outlineLevel="0" collapsed="false">
      <c r="A879" s="15" t="s">
        <v>1015</v>
      </c>
      <c r="B879" s="16" t="n">
        <v>45885</v>
      </c>
      <c r="C879" s="15" t="s">
        <v>49</v>
      </c>
      <c r="D879" s="15" t="s">
        <v>97</v>
      </c>
      <c r="E879" s="15" t="s">
        <v>108</v>
      </c>
      <c r="F879" s="15" t="s">
        <v>118</v>
      </c>
      <c r="G879" s="15" t="s">
        <v>42</v>
      </c>
      <c r="H879" s="15" t="s">
        <v>84</v>
      </c>
      <c r="I879" s="15" t="s">
        <v>136</v>
      </c>
      <c r="J879" s="15" t="s">
        <v>247</v>
      </c>
      <c r="K879" s="17" t="n">
        <v>467.57</v>
      </c>
      <c r="L879" s="15" t="n">
        <v>22</v>
      </c>
      <c r="M879" s="18" t="n">
        <v>0</v>
      </c>
      <c r="N879" s="17" t="n">
        <v>338.39</v>
      </c>
      <c r="O879" s="17" t="n">
        <f aca="false">K879*L879*(1-M879)</f>
        <v>10286.54</v>
      </c>
      <c r="P879" s="17" t="n">
        <f aca="false">N879*L879</f>
        <v>7444.58</v>
      </c>
      <c r="Q879" s="17" t="n">
        <f aca="false">O879-P879</f>
        <v>2841.96</v>
      </c>
      <c r="R879" s="15" t="s">
        <v>63</v>
      </c>
      <c r="S879" s="15" t="s">
        <v>47</v>
      </c>
    </row>
    <row r="880" customFormat="false" ht="15" hidden="false" customHeight="true" outlineLevel="0" collapsed="false">
      <c r="A880" s="11" t="s">
        <v>1016</v>
      </c>
      <c r="B880" s="12" t="n">
        <v>45887</v>
      </c>
      <c r="C880" s="11" t="s">
        <v>49</v>
      </c>
      <c r="D880" s="11" t="s">
        <v>50</v>
      </c>
      <c r="E880" s="11" t="s">
        <v>50</v>
      </c>
      <c r="F880" s="11" t="s">
        <v>109</v>
      </c>
      <c r="G880" s="11" t="s">
        <v>126</v>
      </c>
      <c r="H880" s="11" t="s">
        <v>78</v>
      </c>
      <c r="I880" s="11" t="s">
        <v>120</v>
      </c>
      <c r="J880" s="11" t="s">
        <v>235</v>
      </c>
      <c r="K880" s="13" t="n">
        <v>55.54</v>
      </c>
      <c r="L880" s="11" t="n">
        <v>27</v>
      </c>
      <c r="M880" s="14" t="n">
        <v>0.15</v>
      </c>
      <c r="N880" s="13" t="n">
        <v>43.59</v>
      </c>
      <c r="O880" s="13" t="n">
        <f aca="false">K880*L880*(1-M880)</f>
        <v>1274.643</v>
      </c>
      <c r="P880" s="13" t="n">
        <f aca="false">N880*L880</f>
        <v>1176.93</v>
      </c>
      <c r="Q880" s="13" t="n">
        <f aca="false">O880-P880</f>
        <v>97.7129999999997</v>
      </c>
      <c r="R880" s="11" t="s">
        <v>63</v>
      </c>
      <c r="S880" s="11" t="s">
        <v>47</v>
      </c>
    </row>
    <row r="881" customFormat="false" ht="15" hidden="false" customHeight="true" outlineLevel="0" collapsed="false">
      <c r="A881" s="15" t="s">
        <v>1017</v>
      </c>
      <c r="B881" s="16" t="n">
        <v>45888</v>
      </c>
      <c r="C881" s="15" t="s">
        <v>49</v>
      </c>
      <c r="D881" s="15" t="s">
        <v>97</v>
      </c>
      <c r="E881" s="15" t="s">
        <v>108</v>
      </c>
      <c r="F881" s="15" t="s">
        <v>135</v>
      </c>
      <c r="G881" s="15" t="s">
        <v>126</v>
      </c>
      <c r="H881" s="15" t="s">
        <v>43</v>
      </c>
      <c r="I881" s="15" t="s">
        <v>61</v>
      </c>
      <c r="J881" s="15" t="s">
        <v>147</v>
      </c>
      <c r="K881" s="17" t="n">
        <v>244.16</v>
      </c>
      <c r="L881" s="15" t="n">
        <v>19</v>
      </c>
      <c r="M881" s="18" t="n">
        <v>0.05</v>
      </c>
      <c r="N881" s="17" t="n">
        <v>93.8</v>
      </c>
      <c r="O881" s="17" t="n">
        <f aca="false">K881*L881*(1-M881)</f>
        <v>4407.088</v>
      </c>
      <c r="P881" s="17" t="n">
        <f aca="false">N881*L881</f>
        <v>1782.2</v>
      </c>
      <c r="Q881" s="17" t="n">
        <f aca="false">O881-P881</f>
        <v>2624.888</v>
      </c>
      <c r="R881" s="15" t="s">
        <v>167</v>
      </c>
      <c r="S881" s="15" t="s">
        <v>47</v>
      </c>
    </row>
    <row r="882" customFormat="false" ht="15" hidden="false" customHeight="true" outlineLevel="0" collapsed="false">
      <c r="A882" s="11" t="s">
        <v>1018</v>
      </c>
      <c r="B882" s="12" t="n">
        <v>45891</v>
      </c>
      <c r="C882" s="11" t="s">
        <v>57</v>
      </c>
      <c r="D882" s="11" t="s">
        <v>162</v>
      </c>
      <c r="E882" s="11" t="s">
        <v>163</v>
      </c>
      <c r="F882" s="11" t="s">
        <v>60</v>
      </c>
      <c r="G882" s="11" t="s">
        <v>42</v>
      </c>
      <c r="H882" s="11" t="s">
        <v>78</v>
      </c>
      <c r="I882" s="11" t="s">
        <v>79</v>
      </c>
      <c r="J882" s="11" t="s">
        <v>242</v>
      </c>
      <c r="K882" s="13" t="n">
        <v>3859.61</v>
      </c>
      <c r="L882" s="11" t="n">
        <v>12</v>
      </c>
      <c r="M882" s="14" t="n">
        <v>0.05</v>
      </c>
      <c r="N882" s="13" t="n">
        <v>3292.27</v>
      </c>
      <c r="O882" s="13" t="n">
        <f aca="false">K882*L882*(1-M882)</f>
        <v>43999.554</v>
      </c>
      <c r="P882" s="13" t="n">
        <f aca="false">N882*L882</f>
        <v>39507.24</v>
      </c>
      <c r="Q882" s="13" t="n">
        <f aca="false">O882-P882</f>
        <v>4492.314</v>
      </c>
      <c r="R882" s="11" t="s">
        <v>63</v>
      </c>
      <c r="S882" s="11" t="s">
        <v>47</v>
      </c>
    </row>
    <row r="883" customFormat="false" ht="15" hidden="false" customHeight="true" outlineLevel="0" collapsed="false">
      <c r="A883" s="15" t="s">
        <v>1019</v>
      </c>
      <c r="B883" s="16" t="n">
        <v>45891</v>
      </c>
      <c r="C883" s="15" t="s">
        <v>65</v>
      </c>
      <c r="D883" s="15" t="s">
        <v>66</v>
      </c>
      <c r="E883" s="15" t="s">
        <v>67</v>
      </c>
      <c r="F883" s="15" t="s">
        <v>135</v>
      </c>
      <c r="G883" s="15" t="s">
        <v>52</v>
      </c>
      <c r="H883" s="15" t="s">
        <v>78</v>
      </c>
      <c r="I883" s="15" t="s">
        <v>154</v>
      </c>
      <c r="J883" s="15" t="s">
        <v>155</v>
      </c>
      <c r="K883" s="17" t="n">
        <v>878.89</v>
      </c>
      <c r="L883" s="15" t="n">
        <v>21</v>
      </c>
      <c r="M883" s="18" t="n">
        <v>0.05</v>
      </c>
      <c r="N883" s="17" t="n">
        <v>731.5</v>
      </c>
      <c r="O883" s="17" t="n">
        <f aca="false">K883*L883*(1-M883)</f>
        <v>17533.8555</v>
      </c>
      <c r="P883" s="17" t="n">
        <f aca="false">N883*L883</f>
        <v>15361.5</v>
      </c>
      <c r="Q883" s="17" t="n">
        <f aca="false">O883-P883</f>
        <v>2172.3555</v>
      </c>
      <c r="R883" s="15" t="s">
        <v>167</v>
      </c>
      <c r="S883" s="15" t="s">
        <v>47</v>
      </c>
    </row>
    <row r="884" customFormat="false" ht="15" hidden="false" customHeight="true" outlineLevel="0" collapsed="false">
      <c r="A884" s="11" t="s">
        <v>1020</v>
      </c>
      <c r="B884" s="12" t="n">
        <v>45892</v>
      </c>
      <c r="C884" s="11" t="s">
        <v>65</v>
      </c>
      <c r="D884" s="11" t="s">
        <v>82</v>
      </c>
      <c r="E884" s="11" t="s">
        <v>83</v>
      </c>
      <c r="F884" s="11" t="s">
        <v>68</v>
      </c>
      <c r="G884" s="11" t="s">
        <v>126</v>
      </c>
      <c r="H884" s="11" t="s">
        <v>78</v>
      </c>
      <c r="I884" s="11" t="s">
        <v>120</v>
      </c>
      <c r="J884" s="11" t="s">
        <v>232</v>
      </c>
      <c r="K884" s="13" t="n">
        <v>300.55</v>
      </c>
      <c r="L884" s="11" t="n">
        <v>41</v>
      </c>
      <c r="M884" s="14" t="n">
        <v>0.05</v>
      </c>
      <c r="N884" s="13" t="n">
        <v>213.97</v>
      </c>
      <c r="O884" s="13" t="n">
        <f aca="false">K884*L884*(1-M884)</f>
        <v>11706.4225</v>
      </c>
      <c r="P884" s="13" t="n">
        <f aca="false">N884*L884</f>
        <v>8772.77</v>
      </c>
      <c r="Q884" s="13" t="n">
        <f aca="false">O884-P884</f>
        <v>2933.6525</v>
      </c>
      <c r="R884" s="11" t="s">
        <v>46</v>
      </c>
      <c r="S884" s="11" t="s">
        <v>187</v>
      </c>
    </row>
    <row r="885" customFormat="false" ht="15" hidden="false" customHeight="true" outlineLevel="0" collapsed="false">
      <c r="A885" s="15" t="s">
        <v>1021</v>
      </c>
      <c r="B885" s="16" t="n">
        <v>45893</v>
      </c>
      <c r="C885" s="15" t="s">
        <v>49</v>
      </c>
      <c r="D885" s="15" t="s">
        <v>152</v>
      </c>
      <c r="E885" s="15" t="s">
        <v>152</v>
      </c>
      <c r="F885" s="15" t="s">
        <v>118</v>
      </c>
      <c r="G885" s="15" t="s">
        <v>52</v>
      </c>
      <c r="H885" s="15" t="s">
        <v>84</v>
      </c>
      <c r="I885" s="15" t="s">
        <v>100</v>
      </c>
      <c r="J885" s="15" t="s">
        <v>101</v>
      </c>
      <c r="K885" s="17" t="n">
        <v>1934.4</v>
      </c>
      <c r="L885" s="15" t="n">
        <v>6</v>
      </c>
      <c r="M885" s="18" t="n">
        <v>0</v>
      </c>
      <c r="N885" s="17" t="n">
        <v>1484.62</v>
      </c>
      <c r="O885" s="17" t="n">
        <f aca="false">K885*L885*(1-M885)</f>
        <v>11606.4</v>
      </c>
      <c r="P885" s="17" t="n">
        <f aca="false">N885*L885</f>
        <v>8907.72</v>
      </c>
      <c r="Q885" s="17" t="n">
        <f aca="false">O885-P885</f>
        <v>2698.68</v>
      </c>
      <c r="R885" s="15" t="s">
        <v>46</v>
      </c>
      <c r="S885" s="15" t="s">
        <v>47</v>
      </c>
    </row>
    <row r="886" customFormat="false" ht="15" hidden="false" customHeight="true" outlineLevel="0" collapsed="false">
      <c r="A886" s="11" t="s">
        <v>1022</v>
      </c>
      <c r="B886" s="12" t="n">
        <v>45894</v>
      </c>
      <c r="C886" s="11" t="s">
        <v>57</v>
      </c>
      <c r="D886" s="11" t="s">
        <v>103</v>
      </c>
      <c r="E886" s="11" t="s">
        <v>104</v>
      </c>
      <c r="F886" s="11" t="s">
        <v>109</v>
      </c>
      <c r="G886" s="11" t="s">
        <v>52</v>
      </c>
      <c r="H886" s="11" t="s">
        <v>78</v>
      </c>
      <c r="I886" s="11" t="s">
        <v>143</v>
      </c>
      <c r="J886" s="11" t="s">
        <v>158</v>
      </c>
      <c r="K886" s="13" t="n">
        <v>885.8</v>
      </c>
      <c r="L886" s="11" t="n">
        <v>19</v>
      </c>
      <c r="M886" s="14" t="n">
        <v>0</v>
      </c>
      <c r="N886" s="13" t="n">
        <v>710.84</v>
      </c>
      <c r="O886" s="13" t="n">
        <f aca="false">K886*L886*(1-M886)</f>
        <v>16830.2</v>
      </c>
      <c r="P886" s="13" t="n">
        <f aca="false">N886*L886</f>
        <v>13505.96</v>
      </c>
      <c r="Q886" s="13" t="n">
        <f aca="false">O886-P886</f>
        <v>3324.24</v>
      </c>
      <c r="R886" s="11" t="s">
        <v>63</v>
      </c>
      <c r="S886" s="11" t="s">
        <v>47</v>
      </c>
    </row>
    <row r="887" customFormat="false" ht="15" hidden="false" customHeight="true" outlineLevel="0" collapsed="false">
      <c r="A887" s="15" t="s">
        <v>1023</v>
      </c>
      <c r="B887" s="16" t="n">
        <v>45894</v>
      </c>
      <c r="C887" s="15" t="s">
        <v>57</v>
      </c>
      <c r="D887" s="15" t="s">
        <v>162</v>
      </c>
      <c r="E887" s="15" t="s">
        <v>163</v>
      </c>
      <c r="F887" s="15" t="s">
        <v>60</v>
      </c>
      <c r="G887" s="15" t="s">
        <v>126</v>
      </c>
      <c r="H887" s="15" t="s">
        <v>53</v>
      </c>
      <c r="I887" s="15" t="s">
        <v>69</v>
      </c>
      <c r="J887" s="15" t="s">
        <v>70</v>
      </c>
      <c r="K887" s="17" t="n">
        <v>23.91</v>
      </c>
      <c r="L887" s="15" t="n">
        <v>71</v>
      </c>
      <c r="M887" s="18" t="n">
        <v>0</v>
      </c>
      <c r="N887" s="17" t="n">
        <v>15.31</v>
      </c>
      <c r="O887" s="17" t="n">
        <f aca="false">K887*L887*(1-M887)</f>
        <v>1697.61</v>
      </c>
      <c r="P887" s="17" t="n">
        <f aca="false">N887*L887</f>
        <v>1087.01</v>
      </c>
      <c r="Q887" s="17" t="n">
        <f aca="false">O887-P887</f>
        <v>610.6</v>
      </c>
      <c r="R887" s="15" t="s">
        <v>114</v>
      </c>
      <c r="S887" s="15" t="s">
        <v>47</v>
      </c>
    </row>
    <row r="888" customFormat="false" ht="15" hidden="false" customHeight="true" outlineLevel="0" collapsed="false">
      <c r="A888" s="11" t="s">
        <v>1024</v>
      </c>
      <c r="B888" s="12" t="n">
        <v>45895</v>
      </c>
      <c r="C888" s="11" t="s">
        <v>49</v>
      </c>
      <c r="D888" s="11" t="s">
        <v>152</v>
      </c>
      <c r="E888" s="11" t="s">
        <v>152</v>
      </c>
      <c r="F888" s="11" t="s">
        <v>177</v>
      </c>
      <c r="G888" s="11" t="s">
        <v>42</v>
      </c>
      <c r="H888" s="11" t="s">
        <v>53</v>
      </c>
      <c r="I888" s="11" t="s">
        <v>94</v>
      </c>
      <c r="J888" s="11" t="s">
        <v>95</v>
      </c>
      <c r="K888" s="13" t="n">
        <v>29.43</v>
      </c>
      <c r="L888" s="11" t="n">
        <v>15</v>
      </c>
      <c r="M888" s="14" t="n">
        <v>0</v>
      </c>
      <c r="N888" s="13" t="n">
        <v>19.96</v>
      </c>
      <c r="O888" s="13" t="n">
        <f aca="false">K888*L888*(1-M888)</f>
        <v>441.45</v>
      </c>
      <c r="P888" s="13" t="n">
        <f aca="false">N888*L888</f>
        <v>299.4</v>
      </c>
      <c r="Q888" s="13" t="n">
        <f aca="false">O888-P888</f>
        <v>142.05</v>
      </c>
      <c r="R888" s="11" t="s">
        <v>46</v>
      </c>
      <c r="S888" s="11" t="s">
        <v>47</v>
      </c>
    </row>
    <row r="889" customFormat="false" ht="15" hidden="false" customHeight="true" outlineLevel="0" collapsed="false">
      <c r="A889" s="15" t="s">
        <v>1025</v>
      </c>
      <c r="B889" s="16" t="n">
        <v>45897</v>
      </c>
      <c r="C889" s="15" t="s">
        <v>57</v>
      </c>
      <c r="D889" s="15" t="s">
        <v>162</v>
      </c>
      <c r="E889" s="15" t="s">
        <v>163</v>
      </c>
      <c r="F889" s="15" t="s">
        <v>60</v>
      </c>
      <c r="G889" s="15" t="s">
        <v>77</v>
      </c>
      <c r="H889" s="15" t="s">
        <v>53</v>
      </c>
      <c r="I889" s="15" t="s">
        <v>69</v>
      </c>
      <c r="J889" s="15" t="s">
        <v>128</v>
      </c>
      <c r="K889" s="17" t="n">
        <v>15.41</v>
      </c>
      <c r="L889" s="15" t="n">
        <v>198</v>
      </c>
      <c r="M889" s="18" t="n">
        <v>0.1</v>
      </c>
      <c r="N889" s="17" t="n">
        <v>10.15</v>
      </c>
      <c r="O889" s="17" t="n">
        <f aca="false">K889*L889*(1-M889)</f>
        <v>2746.062</v>
      </c>
      <c r="P889" s="17" t="n">
        <f aca="false">N889*L889</f>
        <v>2009.7</v>
      </c>
      <c r="Q889" s="17" t="n">
        <f aca="false">O889-P889</f>
        <v>736.362</v>
      </c>
      <c r="R889" s="15" t="s">
        <v>71</v>
      </c>
      <c r="S889" s="15" t="s">
        <v>47</v>
      </c>
    </row>
    <row r="890" customFormat="false" ht="15" hidden="false" customHeight="true" outlineLevel="0" collapsed="false">
      <c r="A890" s="11" t="s">
        <v>1026</v>
      </c>
      <c r="B890" s="12" t="n">
        <v>45898</v>
      </c>
      <c r="C890" s="11" t="s">
        <v>38</v>
      </c>
      <c r="D890" s="11" t="s">
        <v>92</v>
      </c>
      <c r="E890" s="11" t="s">
        <v>93</v>
      </c>
      <c r="F890" s="11" t="s">
        <v>51</v>
      </c>
      <c r="G890" s="11" t="s">
        <v>52</v>
      </c>
      <c r="H890" s="11" t="s">
        <v>78</v>
      </c>
      <c r="I890" s="11" t="s">
        <v>120</v>
      </c>
      <c r="J890" s="11" t="s">
        <v>121</v>
      </c>
      <c r="K890" s="13" t="n">
        <v>318.16</v>
      </c>
      <c r="L890" s="11" t="n">
        <v>78</v>
      </c>
      <c r="M890" s="14" t="n">
        <v>0.05</v>
      </c>
      <c r="N890" s="13" t="n">
        <v>259.62</v>
      </c>
      <c r="O890" s="13" t="n">
        <f aca="false">K890*L890*(1-M890)</f>
        <v>23575.656</v>
      </c>
      <c r="P890" s="13" t="n">
        <f aca="false">N890*L890</f>
        <v>20250.36</v>
      </c>
      <c r="Q890" s="13" t="n">
        <f aca="false">O890-P890</f>
        <v>3325.296</v>
      </c>
      <c r="R890" s="11" t="s">
        <v>114</v>
      </c>
      <c r="S890" s="11" t="s">
        <v>47</v>
      </c>
    </row>
    <row r="891" customFormat="false" ht="15" hidden="false" customHeight="true" outlineLevel="0" collapsed="false">
      <c r="A891" s="15" t="s">
        <v>1027</v>
      </c>
      <c r="B891" s="16" t="n">
        <v>45899</v>
      </c>
      <c r="C891" s="15" t="s">
        <v>57</v>
      </c>
      <c r="D891" s="15" t="s">
        <v>103</v>
      </c>
      <c r="E891" s="15" t="s">
        <v>104</v>
      </c>
      <c r="F891" s="15" t="s">
        <v>60</v>
      </c>
      <c r="G891" s="15" t="s">
        <v>77</v>
      </c>
      <c r="H891" s="15" t="s">
        <v>78</v>
      </c>
      <c r="I891" s="15" t="s">
        <v>79</v>
      </c>
      <c r="J891" s="15" t="s">
        <v>80</v>
      </c>
      <c r="K891" s="17" t="n">
        <v>3263.74</v>
      </c>
      <c r="L891" s="15" t="n">
        <v>2</v>
      </c>
      <c r="M891" s="18" t="n">
        <v>0.2</v>
      </c>
      <c r="N891" s="17" t="n">
        <v>2763.4</v>
      </c>
      <c r="O891" s="17" t="n">
        <f aca="false">K891*L891*(1-M891)</f>
        <v>5221.984</v>
      </c>
      <c r="P891" s="17" t="n">
        <f aca="false">N891*L891</f>
        <v>5526.8</v>
      </c>
      <c r="Q891" s="17" t="n">
        <f aca="false">O891-P891</f>
        <v>-304.816</v>
      </c>
      <c r="R891" s="15" t="s">
        <v>114</v>
      </c>
      <c r="S891" s="15" t="s">
        <v>47</v>
      </c>
    </row>
    <row r="892" customFormat="false" ht="15" hidden="false" customHeight="true" outlineLevel="0" collapsed="false">
      <c r="A892" s="11" t="s">
        <v>1028</v>
      </c>
      <c r="B892" s="12" t="n">
        <v>45899</v>
      </c>
      <c r="C892" s="11" t="s">
        <v>65</v>
      </c>
      <c r="D892" s="11" t="s">
        <v>149</v>
      </c>
      <c r="E892" s="11" t="s">
        <v>150</v>
      </c>
      <c r="F892" s="11" t="s">
        <v>60</v>
      </c>
      <c r="G892" s="11" t="s">
        <v>42</v>
      </c>
      <c r="H892" s="11" t="s">
        <v>78</v>
      </c>
      <c r="I892" s="11" t="s">
        <v>120</v>
      </c>
      <c r="J892" s="11" t="s">
        <v>121</v>
      </c>
      <c r="K892" s="13" t="n">
        <v>360.7</v>
      </c>
      <c r="L892" s="11" t="n">
        <v>15</v>
      </c>
      <c r="M892" s="14" t="n">
        <v>0</v>
      </c>
      <c r="N892" s="13" t="n">
        <v>277.9</v>
      </c>
      <c r="O892" s="13" t="n">
        <f aca="false">K892*L892*(1-M892)</f>
        <v>5410.5</v>
      </c>
      <c r="P892" s="13" t="n">
        <f aca="false">N892*L892</f>
        <v>4168.5</v>
      </c>
      <c r="Q892" s="13" t="n">
        <f aca="false">O892-P892</f>
        <v>1242</v>
      </c>
      <c r="R892" s="11" t="s">
        <v>167</v>
      </c>
      <c r="S892" s="11" t="s">
        <v>187</v>
      </c>
    </row>
    <row r="893" customFormat="false" ht="15" hidden="false" customHeight="true" outlineLevel="0" collapsed="false">
      <c r="A893" s="15" t="s">
        <v>1029</v>
      </c>
      <c r="B893" s="16" t="n">
        <v>45900</v>
      </c>
      <c r="C893" s="15" t="s">
        <v>49</v>
      </c>
      <c r="D893" s="15" t="s">
        <v>97</v>
      </c>
      <c r="E893" s="15" t="s">
        <v>98</v>
      </c>
      <c r="F893" s="15" t="s">
        <v>60</v>
      </c>
      <c r="G893" s="15" t="s">
        <v>52</v>
      </c>
      <c r="H893" s="15" t="s">
        <v>84</v>
      </c>
      <c r="I893" s="15" t="s">
        <v>100</v>
      </c>
      <c r="J893" s="15" t="s">
        <v>139</v>
      </c>
      <c r="K893" s="17" t="n">
        <v>730.77</v>
      </c>
      <c r="L893" s="15" t="n">
        <v>5</v>
      </c>
      <c r="M893" s="18" t="n">
        <v>0</v>
      </c>
      <c r="N893" s="17" t="n">
        <v>527.39</v>
      </c>
      <c r="O893" s="17" t="n">
        <f aca="false">K893*L893*(1-M893)</f>
        <v>3653.85</v>
      </c>
      <c r="P893" s="17" t="n">
        <f aca="false">N893*L893</f>
        <v>2636.95</v>
      </c>
      <c r="Q893" s="17" t="n">
        <f aca="false">O893-P893</f>
        <v>1016.9</v>
      </c>
      <c r="R893" s="15" t="s">
        <v>46</v>
      </c>
      <c r="S893" s="15" t="s">
        <v>47</v>
      </c>
    </row>
    <row r="894" customFormat="false" ht="15" hidden="false" customHeight="true" outlineLevel="0" collapsed="false">
      <c r="A894" s="11" t="s">
        <v>1030</v>
      </c>
      <c r="B894" s="12" t="n">
        <v>45901</v>
      </c>
      <c r="C894" s="11" t="s">
        <v>65</v>
      </c>
      <c r="D894" s="11" t="s">
        <v>116</v>
      </c>
      <c r="E894" s="11" t="s">
        <v>117</v>
      </c>
      <c r="F894" s="11" t="s">
        <v>118</v>
      </c>
      <c r="G894" s="11" t="s">
        <v>52</v>
      </c>
      <c r="H894" s="11" t="s">
        <v>53</v>
      </c>
      <c r="I894" s="11" t="s">
        <v>94</v>
      </c>
      <c r="J894" s="11" t="s">
        <v>131</v>
      </c>
      <c r="K894" s="13" t="n">
        <v>37.89</v>
      </c>
      <c r="L894" s="11" t="n">
        <v>84</v>
      </c>
      <c r="M894" s="14" t="n">
        <v>0</v>
      </c>
      <c r="N894" s="13" t="n">
        <v>22.22</v>
      </c>
      <c r="O894" s="13" t="n">
        <f aca="false">K894*L894*(1-M894)</f>
        <v>3182.76</v>
      </c>
      <c r="P894" s="13" t="n">
        <f aca="false">N894*L894</f>
        <v>1866.48</v>
      </c>
      <c r="Q894" s="13" t="n">
        <f aca="false">O894-P894</f>
        <v>1316.28</v>
      </c>
      <c r="R894" s="11" t="s">
        <v>114</v>
      </c>
      <c r="S894" s="11" t="s">
        <v>47</v>
      </c>
    </row>
    <row r="895" customFormat="false" ht="15" hidden="false" customHeight="true" outlineLevel="0" collapsed="false">
      <c r="A895" s="15" t="s">
        <v>1031</v>
      </c>
      <c r="B895" s="16" t="n">
        <v>45901</v>
      </c>
      <c r="C895" s="15" t="s">
        <v>49</v>
      </c>
      <c r="D895" s="15" t="s">
        <v>50</v>
      </c>
      <c r="E895" s="15" t="s">
        <v>50</v>
      </c>
      <c r="F895" s="15" t="s">
        <v>99</v>
      </c>
      <c r="G895" s="15" t="s">
        <v>42</v>
      </c>
      <c r="H895" s="15" t="s">
        <v>78</v>
      </c>
      <c r="I895" s="15" t="s">
        <v>120</v>
      </c>
      <c r="J895" s="15" t="s">
        <v>235</v>
      </c>
      <c r="K895" s="17" t="n">
        <v>94.27</v>
      </c>
      <c r="L895" s="15" t="n">
        <v>100</v>
      </c>
      <c r="M895" s="18" t="n">
        <v>0.05</v>
      </c>
      <c r="N895" s="17" t="n">
        <v>72.01</v>
      </c>
      <c r="O895" s="17" t="n">
        <f aca="false">K895*L895*(1-M895)</f>
        <v>8955.65</v>
      </c>
      <c r="P895" s="17" t="n">
        <f aca="false">N895*L895</f>
        <v>7201</v>
      </c>
      <c r="Q895" s="17" t="n">
        <f aca="false">O895-P895</f>
        <v>1754.65</v>
      </c>
      <c r="R895" s="15" t="s">
        <v>46</v>
      </c>
      <c r="S895" s="15" t="s">
        <v>47</v>
      </c>
    </row>
    <row r="896" customFormat="false" ht="15" hidden="false" customHeight="true" outlineLevel="0" collapsed="false">
      <c r="A896" s="11" t="s">
        <v>1032</v>
      </c>
      <c r="B896" s="12" t="n">
        <v>45902</v>
      </c>
      <c r="C896" s="11" t="s">
        <v>57</v>
      </c>
      <c r="D896" s="11" t="s">
        <v>162</v>
      </c>
      <c r="E896" s="11" t="s">
        <v>163</v>
      </c>
      <c r="F896" s="11" t="s">
        <v>51</v>
      </c>
      <c r="G896" s="11" t="s">
        <v>42</v>
      </c>
      <c r="H896" s="11" t="s">
        <v>84</v>
      </c>
      <c r="I896" s="11" t="s">
        <v>136</v>
      </c>
      <c r="J896" s="11" t="s">
        <v>247</v>
      </c>
      <c r="K896" s="13" t="n">
        <v>516.22</v>
      </c>
      <c r="L896" s="11" t="n">
        <v>12</v>
      </c>
      <c r="M896" s="14" t="n">
        <v>0.1</v>
      </c>
      <c r="N896" s="13" t="n">
        <v>383.96</v>
      </c>
      <c r="O896" s="13" t="n">
        <f aca="false">K896*L896*(1-M896)</f>
        <v>5575.176</v>
      </c>
      <c r="P896" s="13" t="n">
        <f aca="false">N896*L896</f>
        <v>4607.52</v>
      </c>
      <c r="Q896" s="13" t="n">
        <f aca="false">O896-P896</f>
        <v>967.656000000001</v>
      </c>
      <c r="R896" s="11" t="s">
        <v>46</v>
      </c>
      <c r="S896" s="11" t="s">
        <v>47</v>
      </c>
    </row>
    <row r="897" customFormat="false" ht="15" hidden="false" customHeight="true" outlineLevel="0" collapsed="false">
      <c r="A897" s="15" t="s">
        <v>1033</v>
      </c>
      <c r="B897" s="16" t="n">
        <v>45902</v>
      </c>
      <c r="C897" s="15" t="s">
        <v>38</v>
      </c>
      <c r="D897" s="15" t="s">
        <v>92</v>
      </c>
      <c r="E897" s="15" t="s">
        <v>93</v>
      </c>
      <c r="F897" s="15" t="s">
        <v>99</v>
      </c>
      <c r="G897" s="15" t="s">
        <v>130</v>
      </c>
      <c r="H897" s="15" t="s">
        <v>84</v>
      </c>
      <c r="I897" s="15" t="s">
        <v>100</v>
      </c>
      <c r="J897" s="15" t="s">
        <v>139</v>
      </c>
      <c r="K897" s="17" t="n">
        <v>1034.62</v>
      </c>
      <c r="L897" s="15" t="n">
        <v>12</v>
      </c>
      <c r="M897" s="18" t="n">
        <v>0</v>
      </c>
      <c r="N897" s="17" t="n">
        <v>750.92</v>
      </c>
      <c r="O897" s="17" t="n">
        <f aca="false">K897*L897*(1-M897)</f>
        <v>12415.44</v>
      </c>
      <c r="P897" s="17" t="n">
        <f aca="false">N897*L897</f>
        <v>9011.04</v>
      </c>
      <c r="Q897" s="17" t="n">
        <f aca="false">O897-P897</f>
        <v>3404.4</v>
      </c>
      <c r="R897" s="15" t="s">
        <v>46</v>
      </c>
      <c r="S897" s="15" t="s">
        <v>47</v>
      </c>
    </row>
    <row r="898" customFormat="false" ht="15" hidden="false" customHeight="true" outlineLevel="0" collapsed="false">
      <c r="A898" s="11" t="s">
        <v>1034</v>
      </c>
      <c r="B898" s="12" t="n">
        <v>45903</v>
      </c>
      <c r="C898" s="11" t="s">
        <v>38</v>
      </c>
      <c r="D898" s="11" t="s">
        <v>88</v>
      </c>
      <c r="E898" s="11" t="s">
        <v>89</v>
      </c>
      <c r="F898" s="11" t="s">
        <v>41</v>
      </c>
      <c r="G898" s="11" t="s">
        <v>52</v>
      </c>
      <c r="H898" s="11" t="s">
        <v>53</v>
      </c>
      <c r="I898" s="11" t="s">
        <v>69</v>
      </c>
      <c r="J898" s="11" t="s">
        <v>128</v>
      </c>
      <c r="K898" s="13" t="n">
        <v>17.25</v>
      </c>
      <c r="L898" s="11" t="n">
        <v>84</v>
      </c>
      <c r="M898" s="14" t="n">
        <v>0.1</v>
      </c>
      <c r="N898" s="13" t="n">
        <v>11.99</v>
      </c>
      <c r="O898" s="13" t="n">
        <f aca="false">K898*L898*(1-M898)</f>
        <v>1304.1</v>
      </c>
      <c r="P898" s="13" t="n">
        <f aca="false">N898*L898</f>
        <v>1007.16</v>
      </c>
      <c r="Q898" s="13" t="n">
        <f aca="false">O898-P898</f>
        <v>296.94</v>
      </c>
      <c r="R898" s="11" t="s">
        <v>46</v>
      </c>
      <c r="S898" s="11" t="s">
        <v>47</v>
      </c>
    </row>
    <row r="899" customFormat="false" ht="15" hidden="false" customHeight="true" outlineLevel="0" collapsed="false">
      <c r="A899" s="15" t="s">
        <v>1035</v>
      </c>
      <c r="B899" s="16" t="n">
        <v>45905</v>
      </c>
      <c r="C899" s="15" t="s">
        <v>49</v>
      </c>
      <c r="D899" s="15" t="s">
        <v>97</v>
      </c>
      <c r="E899" s="15" t="s">
        <v>98</v>
      </c>
      <c r="F899" s="15" t="s">
        <v>41</v>
      </c>
      <c r="G899" s="15" t="s">
        <v>126</v>
      </c>
      <c r="H899" s="15" t="s">
        <v>78</v>
      </c>
      <c r="I899" s="15" t="s">
        <v>154</v>
      </c>
      <c r="J899" s="15" t="s">
        <v>186</v>
      </c>
      <c r="K899" s="17" t="n">
        <v>691.13</v>
      </c>
      <c r="L899" s="15" t="n">
        <v>14</v>
      </c>
      <c r="M899" s="18" t="n">
        <v>0</v>
      </c>
      <c r="N899" s="17" t="n">
        <v>557.03</v>
      </c>
      <c r="O899" s="17" t="n">
        <f aca="false">K899*L899*(1-M899)</f>
        <v>9675.82</v>
      </c>
      <c r="P899" s="17" t="n">
        <f aca="false">N899*L899</f>
        <v>7798.42</v>
      </c>
      <c r="Q899" s="17" t="n">
        <f aca="false">O899-P899</f>
        <v>1877.4</v>
      </c>
      <c r="R899" s="15" t="s">
        <v>114</v>
      </c>
      <c r="S899" s="15" t="s">
        <v>47</v>
      </c>
    </row>
    <row r="900" customFormat="false" ht="15" hidden="false" customHeight="true" outlineLevel="0" collapsed="false">
      <c r="A900" s="11" t="s">
        <v>1036</v>
      </c>
      <c r="B900" s="12" t="n">
        <v>45906</v>
      </c>
      <c r="C900" s="11" t="s">
        <v>49</v>
      </c>
      <c r="D900" s="11" t="s">
        <v>97</v>
      </c>
      <c r="E900" s="11" t="s">
        <v>98</v>
      </c>
      <c r="F900" s="11" t="s">
        <v>177</v>
      </c>
      <c r="G900" s="11" t="s">
        <v>130</v>
      </c>
      <c r="H900" s="11" t="s">
        <v>78</v>
      </c>
      <c r="I900" s="11" t="s">
        <v>154</v>
      </c>
      <c r="J900" s="11" t="s">
        <v>155</v>
      </c>
      <c r="K900" s="13" t="n">
        <v>786.81</v>
      </c>
      <c r="L900" s="11" t="n">
        <v>14</v>
      </c>
      <c r="M900" s="14" t="n">
        <v>0.1</v>
      </c>
      <c r="N900" s="13" t="n">
        <v>634.07</v>
      </c>
      <c r="O900" s="13" t="n">
        <f aca="false">K900*L900*(1-M900)</f>
        <v>9913.806</v>
      </c>
      <c r="P900" s="13" t="n">
        <f aca="false">N900*L900</f>
        <v>8876.98</v>
      </c>
      <c r="Q900" s="13" t="n">
        <f aca="false">O900-P900</f>
        <v>1036.826</v>
      </c>
      <c r="R900" s="11" t="s">
        <v>46</v>
      </c>
      <c r="S900" s="11" t="s">
        <v>47</v>
      </c>
    </row>
    <row r="901" customFormat="false" ht="15" hidden="false" customHeight="true" outlineLevel="0" collapsed="false">
      <c r="A901" s="15" t="s">
        <v>1037</v>
      </c>
      <c r="B901" s="16" t="n">
        <v>45908</v>
      </c>
      <c r="C901" s="15" t="s">
        <v>65</v>
      </c>
      <c r="D901" s="15" t="s">
        <v>82</v>
      </c>
      <c r="E901" s="15" t="s">
        <v>83</v>
      </c>
      <c r="F901" s="15" t="s">
        <v>60</v>
      </c>
      <c r="G901" s="15" t="s">
        <v>77</v>
      </c>
      <c r="H901" s="15" t="s">
        <v>84</v>
      </c>
      <c r="I901" s="15" t="s">
        <v>85</v>
      </c>
      <c r="J901" s="15" t="s">
        <v>90</v>
      </c>
      <c r="K901" s="17" t="n">
        <v>642.48</v>
      </c>
      <c r="L901" s="15" t="n">
        <v>5</v>
      </c>
      <c r="M901" s="18" t="n">
        <v>0</v>
      </c>
      <c r="N901" s="17" t="n">
        <v>462.59</v>
      </c>
      <c r="O901" s="17" t="n">
        <f aca="false">K901*L901*(1-M901)</f>
        <v>3212.4</v>
      </c>
      <c r="P901" s="17" t="n">
        <f aca="false">N901*L901</f>
        <v>2312.95</v>
      </c>
      <c r="Q901" s="17" t="n">
        <f aca="false">O901-P901</f>
        <v>899.45</v>
      </c>
      <c r="R901" s="15" t="s">
        <v>46</v>
      </c>
      <c r="S901" s="15" t="s">
        <v>47</v>
      </c>
    </row>
    <row r="902" customFormat="false" ht="15" hidden="false" customHeight="true" outlineLevel="0" collapsed="false">
      <c r="A902" s="11" t="s">
        <v>1038</v>
      </c>
      <c r="B902" s="12" t="n">
        <v>45909</v>
      </c>
      <c r="C902" s="11" t="s">
        <v>49</v>
      </c>
      <c r="D902" s="11" t="s">
        <v>97</v>
      </c>
      <c r="E902" s="11" t="s">
        <v>112</v>
      </c>
      <c r="F902" s="11" t="s">
        <v>41</v>
      </c>
      <c r="G902" s="11" t="s">
        <v>52</v>
      </c>
      <c r="H902" s="11" t="s">
        <v>78</v>
      </c>
      <c r="I902" s="11" t="s">
        <v>143</v>
      </c>
      <c r="J902" s="11" t="s">
        <v>158</v>
      </c>
      <c r="K902" s="13" t="n">
        <v>869.65</v>
      </c>
      <c r="L902" s="11" t="n">
        <v>10</v>
      </c>
      <c r="M902" s="14" t="n">
        <v>0</v>
      </c>
      <c r="N902" s="13" t="n">
        <v>692.36</v>
      </c>
      <c r="O902" s="13" t="n">
        <f aca="false">K902*L902*(1-M902)</f>
        <v>8696.5</v>
      </c>
      <c r="P902" s="13" t="n">
        <f aca="false">N902*L902</f>
        <v>6923.6</v>
      </c>
      <c r="Q902" s="13" t="n">
        <f aca="false">O902-P902</f>
        <v>1772.9</v>
      </c>
      <c r="R902" s="11" t="s">
        <v>71</v>
      </c>
      <c r="S902" s="11" t="s">
        <v>47</v>
      </c>
    </row>
    <row r="903" customFormat="false" ht="15" hidden="false" customHeight="true" outlineLevel="0" collapsed="false">
      <c r="A903" s="15" t="s">
        <v>1039</v>
      </c>
      <c r="B903" s="16" t="n">
        <v>45909</v>
      </c>
      <c r="C903" s="15" t="s">
        <v>49</v>
      </c>
      <c r="D903" s="15" t="s">
        <v>97</v>
      </c>
      <c r="E903" s="15" t="s">
        <v>112</v>
      </c>
      <c r="F903" s="15" t="s">
        <v>60</v>
      </c>
      <c r="G903" s="15" t="s">
        <v>42</v>
      </c>
      <c r="H903" s="15" t="s">
        <v>78</v>
      </c>
      <c r="I903" s="15" t="s">
        <v>154</v>
      </c>
      <c r="J903" s="15" t="s">
        <v>186</v>
      </c>
      <c r="K903" s="17" t="n">
        <v>656.3</v>
      </c>
      <c r="L903" s="15" t="n">
        <v>3</v>
      </c>
      <c r="M903" s="18" t="n">
        <v>0</v>
      </c>
      <c r="N903" s="17" t="n">
        <v>513.61</v>
      </c>
      <c r="O903" s="17" t="n">
        <f aca="false">K903*L903*(1-M903)</f>
        <v>1968.9</v>
      </c>
      <c r="P903" s="17" t="n">
        <f aca="false">N903*L903</f>
        <v>1540.83</v>
      </c>
      <c r="Q903" s="17" t="n">
        <f aca="false">O903-P903</f>
        <v>428.07</v>
      </c>
      <c r="R903" s="15" t="s">
        <v>114</v>
      </c>
      <c r="S903" s="15" t="s">
        <v>72</v>
      </c>
    </row>
    <row r="904" customFormat="false" ht="15" hidden="false" customHeight="true" outlineLevel="0" collapsed="false">
      <c r="A904" s="11" t="s">
        <v>1040</v>
      </c>
      <c r="B904" s="12" t="n">
        <v>45909</v>
      </c>
      <c r="C904" s="11" t="s">
        <v>49</v>
      </c>
      <c r="D904" s="11" t="s">
        <v>97</v>
      </c>
      <c r="E904" s="11" t="s">
        <v>112</v>
      </c>
      <c r="F904" s="11" t="s">
        <v>109</v>
      </c>
      <c r="G904" s="11" t="s">
        <v>52</v>
      </c>
      <c r="H904" s="11" t="s">
        <v>53</v>
      </c>
      <c r="I904" s="11" t="s">
        <v>54</v>
      </c>
      <c r="J904" s="11" t="s">
        <v>113</v>
      </c>
      <c r="K904" s="13" t="n">
        <v>12.65</v>
      </c>
      <c r="L904" s="11" t="n">
        <v>134</v>
      </c>
      <c r="M904" s="14" t="n">
        <v>0.05</v>
      </c>
      <c r="N904" s="13" t="n">
        <v>9.07</v>
      </c>
      <c r="O904" s="13" t="n">
        <f aca="false">K904*L904*(1-M904)</f>
        <v>1610.345</v>
      </c>
      <c r="P904" s="13" t="n">
        <f aca="false">N904*L904</f>
        <v>1215.38</v>
      </c>
      <c r="Q904" s="13" t="n">
        <f aca="false">O904-P904</f>
        <v>394.965</v>
      </c>
      <c r="R904" s="11" t="s">
        <v>46</v>
      </c>
      <c r="S904" s="11" t="s">
        <v>47</v>
      </c>
    </row>
    <row r="905" customFormat="false" ht="15" hidden="false" customHeight="true" outlineLevel="0" collapsed="false">
      <c r="A905" s="15" t="s">
        <v>1041</v>
      </c>
      <c r="B905" s="16" t="n">
        <v>45910</v>
      </c>
      <c r="C905" s="15" t="s">
        <v>49</v>
      </c>
      <c r="D905" s="15" t="s">
        <v>152</v>
      </c>
      <c r="E905" s="15" t="s">
        <v>152</v>
      </c>
      <c r="F905" s="15" t="s">
        <v>177</v>
      </c>
      <c r="G905" s="15" t="s">
        <v>52</v>
      </c>
      <c r="H905" s="15" t="s">
        <v>43</v>
      </c>
      <c r="I905" s="15" t="s">
        <v>44</v>
      </c>
      <c r="J905" s="15" t="s">
        <v>45</v>
      </c>
      <c r="K905" s="17" t="n">
        <v>285.88</v>
      </c>
      <c r="L905" s="15" t="n">
        <v>48</v>
      </c>
      <c r="M905" s="18" t="n">
        <v>0.05</v>
      </c>
      <c r="N905" s="17" t="n">
        <v>105.71</v>
      </c>
      <c r="O905" s="17" t="n">
        <f aca="false">K905*L905*(1-M905)</f>
        <v>13036.128</v>
      </c>
      <c r="P905" s="17" t="n">
        <f aca="false">N905*L905</f>
        <v>5074.08</v>
      </c>
      <c r="Q905" s="17" t="n">
        <f aca="false">O905-P905</f>
        <v>7962.048</v>
      </c>
      <c r="R905" s="15" t="s">
        <v>46</v>
      </c>
      <c r="S905" s="15" t="s">
        <v>47</v>
      </c>
    </row>
    <row r="906" customFormat="false" ht="15" hidden="false" customHeight="true" outlineLevel="0" collapsed="false">
      <c r="A906" s="11" t="s">
        <v>1042</v>
      </c>
      <c r="B906" s="12" t="n">
        <v>45910</v>
      </c>
      <c r="C906" s="11" t="s">
        <v>49</v>
      </c>
      <c r="D906" s="11" t="s">
        <v>50</v>
      </c>
      <c r="E906" s="11" t="s">
        <v>50</v>
      </c>
      <c r="F906" s="11" t="s">
        <v>135</v>
      </c>
      <c r="G906" s="11" t="s">
        <v>42</v>
      </c>
      <c r="H906" s="11" t="s">
        <v>53</v>
      </c>
      <c r="I906" s="11" t="s">
        <v>69</v>
      </c>
      <c r="J906" s="11" t="s">
        <v>70</v>
      </c>
      <c r="K906" s="13" t="n">
        <v>29.43</v>
      </c>
      <c r="L906" s="11" t="n">
        <v>135</v>
      </c>
      <c r="M906" s="14" t="n">
        <v>0.05</v>
      </c>
      <c r="N906" s="13" t="n">
        <v>18.47</v>
      </c>
      <c r="O906" s="13" t="n">
        <f aca="false">K906*L906*(1-M906)</f>
        <v>3774.3975</v>
      </c>
      <c r="P906" s="13" t="n">
        <f aca="false">N906*L906</f>
        <v>2493.45</v>
      </c>
      <c r="Q906" s="13" t="n">
        <f aca="false">O906-P906</f>
        <v>1280.9475</v>
      </c>
      <c r="R906" s="11" t="s">
        <v>71</v>
      </c>
      <c r="S906" s="11" t="s">
        <v>47</v>
      </c>
    </row>
    <row r="907" customFormat="false" ht="15" hidden="false" customHeight="true" outlineLevel="0" collapsed="false">
      <c r="A907" s="15" t="s">
        <v>1043</v>
      </c>
      <c r="B907" s="16" t="n">
        <v>45911</v>
      </c>
      <c r="C907" s="15" t="s">
        <v>65</v>
      </c>
      <c r="D907" s="15" t="s">
        <v>116</v>
      </c>
      <c r="E907" s="15" t="s">
        <v>117</v>
      </c>
      <c r="F907" s="15" t="s">
        <v>177</v>
      </c>
      <c r="G907" s="15" t="s">
        <v>52</v>
      </c>
      <c r="H907" s="15" t="s">
        <v>43</v>
      </c>
      <c r="I907" s="15" t="s">
        <v>61</v>
      </c>
      <c r="J907" s="15" t="s">
        <v>147</v>
      </c>
      <c r="K907" s="17" t="n">
        <v>414.78</v>
      </c>
      <c r="L907" s="15" t="n">
        <v>37</v>
      </c>
      <c r="M907" s="18" t="n">
        <v>0.05</v>
      </c>
      <c r="N907" s="17" t="n">
        <v>148.89</v>
      </c>
      <c r="O907" s="17" t="n">
        <f aca="false">K907*L907*(1-M907)</f>
        <v>14579.517</v>
      </c>
      <c r="P907" s="17" t="n">
        <f aca="false">N907*L907</f>
        <v>5508.93</v>
      </c>
      <c r="Q907" s="17" t="n">
        <f aca="false">O907-P907</f>
        <v>9070.587</v>
      </c>
      <c r="R907" s="15" t="s">
        <v>63</v>
      </c>
      <c r="S907" s="15" t="s">
        <v>124</v>
      </c>
    </row>
    <row r="908" customFormat="false" ht="15" hidden="false" customHeight="true" outlineLevel="0" collapsed="false">
      <c r="A908" s="11" t="s">
        <v>1044</v>
      </c>
      <c r="B908" s="12" t="n">
        <v>45911</v>
      </c>
      <c r="C908" s="11" t="s">
        <v>74</v>
      </c>
      <c r="D908" s="11" t="s">
        <v>75</v>
      </c>
      <c r="E908" s="11" t="s">
        <v>76</v>
      </c>
      <c r="F908" s="11" t="s">
        <v>51</v>
      </c>
      <c r="G908" s="11" t="s">
        <v>126</v>
      </c>
      <c r="H908" s="11" t="s">
        <v>53</v>
      </c>
      <c r="I908" s="11" t="s">
        <v>94</v>
      </c>
      <c r="J908" s="11" t="s">
        <v>131</v>
      </c>
      <c r="K908" s="13" t="n">
        <v>44.62</v>
      </c>
      <c r="L908" s="11" t="n">
        <v>76</v>
      </c>
      <c r="M908" s="14" t="n">
        <v>0.15</v>
      </c>
      <c r="N908" s="13" t="n">
        <v>28.91</v>
      </c>
      <c r="O908" s="13" t="n">
        <f aca="false">K908*L908*(1-M908)</f>
        <v>2882.452</v>
      </c>
      <c r="P908" s="13" t="n">
        <f aca="false">N908*L908</f>
        <v>2197.16</v>
      </c>
      <c r="Q908" s="13" t="n">
        <f aca="false">O908-P908</f>
        <v>685.292</v>
      </c>
      <c r="R908" s="11" t="s">
        <v>46</v>
      </c>
      <c r="S908" s="11" t="s">
        <v>72</v>
      </c>
    </row>
    <row r="909" customFormat="false" ht="15" hidden="false" customHeight="true" outlineLevel="0" collapsed="false">
      <c r="A909" s="15" t="s">
        <v>1045</v>
      </c>
      <c r="B909" s="16" t="n">
        <v>45911</v>
      </c>
      <c r="C909" s="15" t="s">
        <v>49</v>
      </c>
      <c r="D909" s="15" t="s">
        <v>50</v>
      </c>
      <c r="E909" s="15" t="s">
        <v>50</v>
      </c>
      <c r="F909" s="15" t="s">
        <v>109</v>
      </c>
      <c r="G909" s="15" t="s">
        <v>130</v>
      </c>
      <c r="H909" s="15" t="s">
        <v>53</v>
      </c>
      <c r="I909" s="15" t="s">
        <v>54</v>
      </c>
      <c r="J909" s="15" t="s">
        <v>113</v>
      </c>
      <c r="K909" s="17" t="n">
        <v>20.15</v>
      </c>
      <c r="L909" s="15" t="n">
        <v>82</v>
      </c>
      <c r="M909" s="18" t="n">
        <v>0.05</v>
      </c>
      <c r="N909" s="17" t="n">
        <v>12.53</v>
      </c>
      <c r="O909" s="17" t="n">
        <f aca="false">K909*L909*(1-M909)</f>
        <v>1569.685</v>
      </c>
      <c r="P909" s="17" t="n">
        <f aca="false">N909*L909</f>
        <v>1027.46</v>
      </c>
      <c r="Q909" s="17" t="n">
        <f aca="false">O909-P909</f>
        <v>542.225</v>
      </c>
      <c r="R909" s="15" t="s">
        <v>63</v>
      </c>
      <c r="S909" s="15" t="s">
        <v>72</v>
      </c>
    </row>
    <row r="910" customFormat="false" ht="15" hidden="false" customHeight="true" outlineLevel="0" collapsed="false">
      <c r="A910" s="11" t="s">
        <v>1046</v>
      </c>
      <c r="B910" s="12" t="n">
        <v>45912</v>
      </c>
      <c r="C910" s="11" t="s">
        <v>74</v>
      </c>
      <c r="D910" s="11" t="s">
        <v>75</v>
      </c>
      <c r="E910" s="11" t="s">
        <v>76</v>
      </c>
      <c r="F910" s="11" t="s">
        <v>51</v>
      </c>
      <c r="G910" s="11" t="s">
        <v>52</v>
      </c>
      <c r="H910" s="11" t="s">
        <v>53</v>
      </c>
      <c r="I910" s="11" t="s">
        <v>54</v>
      </c>
      <c r="J910" s="11" t="s">
        <v>55</v>
      </c>
      <c r="K910" s="13" t="n">
        <v>8.55</v>
      </c>
      <c r="L910" s="11" t="n">
        <v>20</v>
      </c>
      <c r="M910" s="14" t="n">
        <v>0.2</v>
      </c>
      <c r="N910" s="13" t="n">
        <v>5.61</v>
      </c>
      <c r="O910" s="13" t="n">
        <f aca="false">K910*L910*(1-M910)</f>
        <v>136.8</v>
      </c>
      <c r="P910" s="13" t="n">
        <f aca="false">N910*L910</f>
        <v>112.2</v>
      </c>
      <c r="Q910" s="13" t="n">
        <f aca="false">O910-P910</f>
        <v>24.6</v>
      </c>
      <c r="R910" s="11" t="s">
        <v>114</v>
      </c>
      <c r="S910" s="11" t="s">
        <v>47</v>
      </c>
    </row>
    <row r="911" customFormat="false" ht="15" hidden="false" customHeight="true" outlineLevel="0" collapsed="false">
      <c r="A911" s="15" t="s">
        <v>1047</v>
      </c>
      <c r="B911" s="16" t="n">
        <v>45912</v>
      </c>
      <c r="C911" s="15" t="s">
        <v>57</v>
      </c>
      <c r="D911" s="15" t="s">
        <v>58</v>
      </c>
      <c r="E911" s="15" t="s">
        <v>59</v>
      </c>
      <c r="F911" s="15" t="s">
        <v>41</v>
      </c>
      <c r="G911" s="15" t="s">
        <v>42</v>
      </c>
      <c r="H911" s="15" t="s">
        <v>53</v>
      </c>
      <c r="I911" s="15" t="s">
        <v>54</v>
      </c>
      <c r="J911" s="15" t="s">
        <v>113</v>
      </c>
      <c r="K911" s="17" t="n">
        <v>12.52</v>
      </c>
      <c r="L911" s="15" t="n">
        <v>17</v>
      </c>
      <c r="M911" s="18" t="n">
        <v>0</v>
      </c>
      <c r="N911" s="17" t="n">
        <v>8.31</v>
      </c>
      <c r="O911" s="17" t="n">
        <f aca="false">K911*L911*(1-M911)</f>
        <v>212.84</v>
      </c>
      <c r="P911" s="17" t="n">
        <f aca="false">N911*L911</f>
        <v>141.27</v>
      </c>
      <c r="Q911" s="17" t="n">
        <f aca="false">O911-P911</f>
        <v>71.57</v>
      </c>
      <c r="R911" s="15" t="s">
        <v>46</v>
      </c>
      <c r="S911" s="15" t="s">
        <v>47</v>
      </c>
    </row>
    <row r="912" customFormat="false" ht="15" hidden="false" customHeight="true" outlineLevel="0" collapsed="false">
      <c r="A912" s="11" t="s">
        <v>1048</v>
      </c>
      <c r="B912" s="12" t="n">
        <v>45913</v>
      </c>
      <c r="C912" s="11" t="s">
        <v>38</v>
      </c>
      <c r="D912" s="11" t="s">
        <v>92</v>
      </c>
      <c r="E912" s="11" t="s">
        <v>93</v>
      </c>
      <c r="F912" s="11" t="s">
        <v>109</v>
      </c>
      <c r="G912" s="11" t="s">
        <v>42</v>
      </c>
      <c r="H912" s="11" t="s">
        <v>84</v>
      </c>
      <c r="I912" s="11" t="s">
        <v>100</v>
      </c>
      <c r="J912" s="11" t="s">
        <v>101</v>
      </c>
      <c r="K912" s="13" t="n">
        <v>1737.52</v>
      </c>
      <c r="L912" s="11" t="n">
        <v>3</v>
      </c>
      <c r="M912" s="14" t="n">
        <v>0.1</v>
      </c>
      <c r="N912" s="13" t="n">
        <v>1410.36</v>
      </c>
      <c r="O912" s="13" t="n">
        <f aca="false">K912*L912*(1-M912)</f>
        <v>4691.304</v>
      </c>
      <c r="P912" s="13" t="n">
        <f aca="false">N912*L912</f>
        <v>4231.08</v>
      </c>
      <c r="Q912" s="13" t="n">
        <f aca="false">O912-P912</f>
        <v>460.224</v>
      </c>
      <c r="R912" s="11" t="s">
        <v>167</v>
      </c>
      <c r="S912" s="11" t="s">
        <v>47</v>
      </c>
    </row>
    <row r="913" customFormat="false" ht="15" hidden="false" customHeight="true" outlineLevel="0" collapsed="false">
      <c r="A913" s="15" t="s">
        <v>1049</v>
      </c>
      <c r="B913" s="16" t="n">
        <v>45913</v>
      </c>
      <c r="C913" s="15" t="s">
        <v>49</v>
      </c>
      <c r="D913" s="15" t="s">
        <v>97</v>
      </c>
      <c r="E913" s="15" t="s">
        <v>112</v>
      </c>
      <c r="F913" s="15" t="s">
        <v>60</v>
      </c>
      <c r="G913" s="15" t="s">
        <v>52</v>
      </c>
      <c r="H913" s="15" t="s">
        <v>78</v>
      </c>
      <c r="I913" s="15" t="s">
        <v>79</v>
      </c>
      <c r="J913" s="15" t="s">
        <v>242</v>
      </c>
      <c r="K913" s="17" t="n">
        <v>3710.29</v>
      </c>
      <c r="L913" s="15" t="n">
        <v>1</v>
      </c>
      <c r="M913" s="18" t="n">
        <v>0.1</v>
      </c>
      <c r="N913" s="17" t="n">
        <v>3222.69</v>
      </c>
      <c r="O913" s="17" t="n">
        <f aca="false">K913*L913*(1-M913)</f>
        <v>3339.261</v>
      </c>
      <c r="P913" s="17" t="n">
        <f aca="false">N913*L913</f>
        <v>3222.69</v>
      </c>
      <c r="Q913" s="17" t="n">
        <f aca="false">O913-P913</f>
        <v>116.571</v>
      </c>
      <c r="R913" s="15" t="s">
        <v>46</v>
      </c>
      <c r="S913" s="15" t="s">
        <v>47</v>
      </c>
    </row>
    <row r="914" customFormat="false" ht="15" hidden="false" customHeight="true" outlineLevel="0" collapsed="false">
      <c r="A914" s="11" t="s">
        <v>1050</v>
      </c>
      <c r="B914" s="12" t="n">
        <v>45914</v>
      </c>
      <c r="C914" s="11" t="s">
        <v>74</v>
      </c>
      <c r="D914" s="11" t="s">
        <v>171</v>
      </c>
      <c r="E914" s="11" t="s">
        <v>172</v>
      </c>
      <c r="F914" s="11" t="s">
        <v>41</v>
      </c>
      <c r="G914" s="11" t="s">
        <v>52</v>
      </c>
      <c r="H914" s="11" t="s">
        <v>53</v>
      </c>
      <c r="I914" s="11" t="s">
        <v>69</v>
      </c>
      <c r="J914" s="11" t="s">
        <v>70</v>
      </c>
      <c r="K914" s="13" t="n">
        <v>25.55</v>
      </c>
      <c r="L914" s="11" t="n">
        <v>21</v>
      </c>
      <c r="M914" s="14" t="n">
        <v>0.1</v>
      </c>
      <c r="N914" s="13" t="n">
        <v>18.27</v>
      </c>
      <c r="O914" s="13" t="n">
        <f aca="false">K914*L914*(1-M914)</f>
        <v>482.895</v>
      </c>
      <c r="P914" s="13" t="n">
        <f aca="false">N914*L914</f>
        <v>383.67</v>
      </c>
      <c r="Q914" s="13" t="n">
        <f aca="false">O914-P914</f>
        <v>99.2250000000001</v>
      </c>
      <c r="R914" s="11" t="s">
        <v>46</v>
      </c>
      <c r="S914" s="11" t="s">
        <v>47</v>
      </c>
    </row>
    <row r="915" customFormat="false" ht="15" hidden="false" customHeight="true" outlineLevel="0" collapsed="false">
      <c r="A915" s="15" t="s">
        <v>1051</v>
      </c>
      <c r="B915" s="16" t="n">
        <v>45914</v>
      </c>
      <c r="C915" s="15" t="s">
        <v>49</v>
      </c>
      <c r="D915" s="15" t="s">
        <v>152</v>
      </c>
      <c r="E915" s="15" t="s">
        <v>152</v>
      </c>
      <c r="F915" s="15" t="s">
        <v>135</v>
      </c>
      <c r="G915" s="15" t="s">
        <v>130</v>
      </c>
      <c r="H915" s="15" t="s">
        <v>78</v>
      </c>
      <c r="I915" s="15" t="s">
        <v>120</v>
      </c>
      <c r="J915" s="15" t="s">
        <v>235</v>
      </c>
      <c r="K915" s="17" t="n">
        <v>95.36</v>
      </c>
      <c r="L915" s="15" t="n">
        <v>47</v>
      </c>
      <c r="M915" s="18" t="n">
        <v>0.05</v>
      </c>
      <c r="N915" s="17" t="n">
        <v>71.92</v>
      </c>
      <c r="O915" s="17" t="n">
        <f aca="false">K915*L915*(1-M915)</f>
        <v>4257.824</v>
      </c>
      <c r="P915" s="17" t="n">
        <f aca="false">N915*L915</f>
        <v>3380.24</v>
      </c>
      <c r="Q915" s="17" t="n">
        <f aca="false">O915-P915</f>
        <v>877.583999999999</v>
      </c>
      <c r="R915" s="15" t="s">
        <v>167</v>
      </c>
      <c r="S915" s="15" t="s">
        <v>47</v>
      </c>
    </row>
    <row r="916" customFormat="false" ht="15" hidden="false" customHeight="true" outlineLevel="0" collapsed="false">
      <c r="A916" s="11" t="s">
        <v>1052</v>
      </c>
      <c r="B916" s="12" t="n">
        <v>45914</v>
      </c>
      <c r="C916" s="11" t="s">
        <v>49</v>
      </c>
      <c r="D916" s="11" t="s">
        <v>97</v>
      </c>
      <c r="E916" s="11" t="s">
        <v>112</v>
      </c>
      <c r="F916" s="11" t="s">
        <v>99</v>
      </c>
      <c r="G916" s="11" t="s">
        <v>126</v>
      </c>
      <c r="H916" s="11" t="s">
        <v>53</v>
      </c>
      <c r="I916" s="11" t="s">
        <v>69</v>
      </c>
      <c r="J916" s="11" t="s">
        <v>128</v>
      </c>
      <c r="K916" s="13" t="n">
        <v>14.08</v>
      </c>
      <c r="L916" s="11" t="n">
        <v>194</v>
      </c>
      <c r="M916" s="14" t="n">
        <v>0.05</v>
      </c>
      <c r="N916" s="13" t="n">
        <v>10.2</v>
      </c>
      <c r="O916" s="13" t="n">
        <f aca="false">K916*L916*(1-M916)</f>
        <v>2594.944</v>
      </c>
      <c r="P916" s="13" t="n">
        <f aca="false">N916*L916</f>
        <v>1978.8</v>
      </c>
      <c r="Q916" s="13" t="n">
        <f aca="false">O916-P916</f>
        <v>616.144</v>
      </c>
      <c r="R916" s="11" t="s">
        <v>63</v>
      </c>
      <c r="S916" s="11" t="s">
        <v>47</v>
      </c>
    </row>
    <row r="917" customFormat="false" ht="15" hidden="false" customHeight="true" outlineLevel="0" collapsed="false">
      <c r="A917" s="15" t="s">
        <v>1053</v>
      </c>
      <c r="B917" s="16" t="n">
        <v>45915</v>
      </c>
      <c r="C917" s="15" t="s">
        <v>65</v>
      </c>
      <c r="D917" s="15" t="s">
        <v>116</v>
      </c>
      <c r="E917" s="15" t="s">
        <v>117</v>
      </c>
      <c r="F917" s="15" t="s">
        <v>177</v>
      </c>
      <c r="G917" s="15" t="s">
        <v>130</v>
      </c>
      <c r="H917" s="15" t="s">
        <v>78</v>
      </c>
      <c r="I917" s="15" t="s">
        <v>154</v>
      </c>
      <c r="J917" s="15" t="s">
        <v>186</v>
      </c>
      <c r="K917" s="17" t="n">
        <v>849.85</v>
      </c>
      <c r="L917" s="15" t="n">
        <v>2</v>
      </c>
      <c r="M917" s="18" t="n">
        <v>0</v>
      </c>
      <c r="N917" s="17" t="n">
        <v>688.66</v>
      </c>
      <c r="O917" s="17" t="n">
        <f aca="false">K917*L917*(1-M917)</f>
        <v>1699.7</v>
      </c>
      <c r="P917" s="17" t="n">
        <f aca="false">N917*L917</f>
        <v>1377.32</v>
      </c>
      <c r="Q917" s="17" t="n">
        <f aca="false">O917-P917</f>
        <v>322.38</v>
      </c>
      <c r="R917" s="15" t="s">
        <v>46</v>
      </c>
      <c r="S917" s="15" t="s">
        <v>47</v>
      </c>
    </row>
    <row r="918" customFormat="false" ht="15" hidden="false" customHeight="true" outlineLevel="0" collapsed="false">
      <c r="A918" s="11" t="s">
        <v>1054</v>
      </c>
      <c r="B918" s="12" t="n">
        <v>45915</v>
      </c>
      <c r="C918" s="11" t="s">
        <v>65</v>
      </c>
      <c r="D918" s="11" t="s">
        <v>116</v>
      </c>
      <c r="E918" s="11" t="s">
        <v>117</v>
      </c>
      <c r="F918" s="11" t="s">
        <v>99</v>
      </c>
      <c r="G918" s="11" t="s">
        <v>42</v>
      </c>
      <c r="H918" s="11" t="s">
        <v>53</v>
      </c>
      <c r="I918" s="11" t="s">
        <v>69</v>
      </c>
      <c r="J918" s="11" t="s">
        <v>70</v>
      </c>
      <c r="K918" s="13" t="n">
        <v>27.6</v>
      </c>
      <c r="L918" s="11" t="n">
        <v>30</v>
      </c>
      <c r="M918" s="14" t="n">
        <v>0.05</v>
      </c>
      <c r="N918" s="13" t="n">
        <v>18.65</v>
      </c>
      <c r="O918" s="13" t="n">
        <f aca="false">K918*L918*(1-M918)</f>
        <v>786.6</v>
      </c>
      <c r="P918" s="13" t="n">
        <f aca="false">N918*L918</f>
        <v>559.5</v>
      </c>
      <c r="Q918" s="13" t="n">
        <f aca="false">O918-P918</f>
        <v>227.1</v>
      </c>
      <c r="R918" s="11" t="s">
        <v>46</v>
      </c>
      <c r="S918" s="11" t="s">
        <v>47</v>
      </c>
    </row>
    <row r="919" customFormat="false" ht="15" hidden="false" customHeight="true" outlineLevel="0" collapsed="false">
      <c r="A919" s="15" t="s">
        <v>1055</v>
      </c>
      <c r="B919" s="16" t="n">
        <v>45915</v>
      </c>
      <c r="C919" s="15" t="s">
        <v>74</v>
      </c>
      <c r="D919" s="15" t="s">
        <v>171</v>
      </c>
      <c r="E919" s="15" t="s">
        <v>172</v>
      </c>
      <c r="F919" s="15" t="s">
        <v>60</v>
      </c>
      <c r="G919" s="15" t="s">
        <v>52</v>
      </c>
      <c r="H919" s="15" t="s">
        <v>43</v>
      </c>
      <c r="I919" s="15" t="s">
        <v>44</v>
      </c>
      <c r="J919" s="15" t="s">
        <v>106</v>
      </c>
      <c r="K919" s="17" t="n">
        <v>453.9</v>
      </c>
      <c r="L919" s="15" t="n">
        <v>38</v>
      </c>
      <c r="M919" s="18" t="n">
        <v>0</v>
      </c>
      <c r="N919" s="17" t="n">
        <v>147.57</v>
      </c>
      <c r="O919" s="17" t="n">
        <f aca="false">K919*L919*(1-M919)</f>
        <v>17248.2</v>
      </c>
      <c r="P919" s="17" t="n">
        <f aca="false">N919*L919</f>
        <v>5607.66</v>
      </c>
      <c r="Q919" s="17" t="n">
        <f aca="false">O919-P919</f>
        <v>11640.54</v>
      </c>
      <c r="R919" s="15" t="s">
        <v>63</v>
      </c>
      <c r="S919" s="15" t="s">
        <v>47</v>
      </c>
    </row>
    <row r="920" customFormat="false" ht="15" hidden="false" customHeight="true" outlineLevel="0" collapsed="false">
      <c r="A920" s="11" t="s">
        <v>1056</v>
      </c>
      <c r="B920" s="12" t="n">
        <v>45916</v>
      </c>
      <c r="C920" s="11" t="s">
        <v>49</v>
      </c>
      <c r="D920" s="11" t="s">
        <v>97</v>
      </c>
      <c r="E920" s="11" t="s">
        <v>98</v>
      </c>
      <c r="F920" s="11" t="s">
        <v>41</v>
      </c>
      <c r="G920" s="11" t="s">
        <v>130</v>
      </c>
      <c r="H920" s="11" t="s">
        <v>78</v>
      </c>
      <c r="I920" s="11" t="s">
        <v>154</v>
      </c>
      <c r="J920" s="11" t="s">
        <v>186</v>
      </c>
      <c r="K920" s="13" t="n">
        <v>931.37</v>
      </c>
      <c r="L920" s="11" t="n">
        <v>14</v>
      </c>
      <c r="M920" s="14" t="n">
        <v>0.05</v>
      </c>
      <c r="N920" s="13" t="n">
        <v>791.76</v>
      </c>
      <c r="O920" s="13" t="n">
        <f aca="false">K920*L920*(1-M920)</f>
        <v>12387.221</v>
      </c>
      <c r="P920" s="13" t="n">
        <f aca="false">N920*L920</f>
        <v>11084.64</v>
      </c>
      <c r="Q920" s="13" t="n">
        <f aca="false">O920-P920</f>
        <v>1302.581</v>
      </c>
      <c r="R920" s="11" t="s">
        <v>114</v>
      </c>
      <c r="S920" s="11" t="s">
        <v>47</v>
      </c>
    </row>
    <row r="921" customFormat="false" ht="15" hidden="false" customHeight="true" outlineLevel="0" collapsed="false">
      <c r="A921" s="15" t="s">
        <v>1057</v>
      </c>
      <c r="B921" s="16" t="n">
        <v>45916</v>
      </c>
      <c r="C921" s="15" t="s">
        <v>38</v>
      </c>
      <c r="D921" s="15" t="s">
        <v>88</v>
      </c>
      <c r="E921" s="15" t="s">
        <v>89</v>
      </c>
      <c r="F921" s="15" t="s">
        <v>68</v>
      </c>
      <c r="G921" s="15" t="s">
        <v>52</v>
      </c>
      <c r="H921" s="15" t="s">
        <v>53</v>
      </c>
      <c r="I921" s="15" t="s">
        <v>54</v>
      </c>
      <c r="J921" s="15" t="s">
        <v>113</v>
      </c>
      <c r="K921" s="17" t="n">
        <v>29.25</v>
      </c>
      <c r="L921" s="15" t="n">
        <v>17</v>
      </c>
      <c r="M921" s="18" t="n">
        <v>0.1</v>
      </c>
      <c r="N921" s="17" t="n">
        <v>18.77</v>
      </c>
      <c r="O921" s="17" t="n">
        <f aca="false">K921*L921*(1-M921)</f>
        <v>447.525</v>
      </c>
      <c r="P921" s="17" t="n">
        <f aca="false">N921*L921</f>
        <v>319.09</v>
      </c>
      <c r="Q921" s="17" t="n">
        <f aca="false">O921-P921</f>
        <v>128.435</v>
      </c>
      <c r="R921" s="15" t="s">
        <v>46</v>
      </c>
      <c r="S921" s="15" t="s">
        <v>47</v>
      </c>
    </row>
    <row r="922" customFormat="false" ht="15" hidden="false" customHeight="true" outlineLevel="0" collapsed="false">
      <c r="A922" s="11" t="s">
        <v>1058</v>
      </c>
      <c r="B922" s="12" t="n">
        <v>45917</v>
      </c>
      <c r="C922" s="11" t="s">
        <v>49</v>
      </c>
      <c r="D922" s="11" t="s">
        <v>152</v>
      </c>
      <c r="E922" s="11" t="s">
        <v>152</v>
      </c>
      <c r="F922" s="11" t="s">
        <v>118</v>
      </c>
      <c r="G922" s="11" t="s">
        <v>52</v>
      </c>
      <c r="H922" s="11" t="s">
        <v>84</v>
      </c>
      <c r="I922" s="11" t="s">
        <v>100</v>
      </c>
      <c r="J922" s="11" t="s">
        <v>139</v>
      </c>
      <c r="K922" s="13" t="n">
        <v>785.91</v>
      </c>
      <c r="L922" s="11" t="n">
        <v>21</v>
      </c>
      <c r="M922" s="14" t="n">
        <v>0.1</v>
      </c>
      <c r="N922" s="13" t="n">
        <v>636.01</v>
      </c>
      <c r="O922" s="13" t="n">
        <f aca="false">K922*L922*(1-M922)</f>
        <v>14853.699</v>
      </c>
      <c r="P922" s="13" t="n">
        <f aca="false">N922*L922</f>
        <v>13356.21</v>
      </c>
      <c r="Q922" s="13" t="n">
        <f aca="false">O922-P922</f>
        <v>1497.489</v>
      </c>
      <c r="R922" s="11" t="s">
        <v>167</v>
      </c>
      <c r="S922" s="11" t="s">
        <v>72</v>
      </c>
    </row>
    <row r="923" customFormat="false" ht="15" hidden="false" customHeight="true" outlineLevel="0" collapsed="false">
      <c r="A923" s="15" t="s">
        <v>1059</v>
      </c>
      <c r="B923" s="16" t="n">
        <v>45917</v>
      </c>
      <c r="C923" s="15" t="s">
        <v>57</v>
      </c>
      <c r="D923" s="15" t="s">
        <v>162</v>
      </c>
      <c r="E923" s="15" t="s">
        <v>163</v>
      </c>
      <c r="F923" s="15" t="s">
        <v>177</v>
      </c>
      <c r="G923" s="15" t="s">
        <v>52</v>
      </c>
      <c r="H923" s="15" t="s">
        <v>78</v>
      </c>
      <c r="I923" s="15" t="s">
        <v>79</v>
      </c>
      <c r="J923" s="15" t="s">
        <v>242</v>
      </c>
      <c r="K923" s="17" t="n">
        <v>5021.97</v>
      </c>
      <c r="L923" s="15" t="n">
        <v>3</v>
      </c>
      <c r="M923" s="18" t="n">
        <v>0.1</v>
      </c>
      <c r="N923" s="17" t="n">
        <v>4302.09</v>
      </c>
      <c r="O923" s="17" t="n">
        <f aca="false">K923*L923*(1-M923)</f>
        <v>13559.319</v>
      </c>
      <c r="P923" s="17" t="n">
        <f aca="false">N923*L923</f>
        <v>12906.27</v>
      </c>
      <c r="Q923" s="17" t="n">
        <f aca="false">O923-P923</f>
        <v>653.048999999999</v>
      </c>
      <c r="R923" s="15" t="s">
        <v>114</v>
      </c>
      <c r="S923" s="15" t="s">
        <v>47</v>
      </c>
    </row>
    <row r="924" customFormat="false" ht="15" hidden="false" customHeight="true" outlineLevel="0" collapsed="false">
      <c r="A924" s="11" t="s">
        <v>1060</v>
      </c>
      <c r="B924" s="12" t="n">
        <v>45919</v>
      </c>
      <c r="C924" s="11" t="s">
        <v>38</v>
      </c>
      <c r="D924" s="11" t="s">
        <v>39</v>
      </c>
      <c r="E924" s="11" t="s">
        <v>40</v>
      </c>
      <c r="F924" s="11" t="s">
        <v>177</v>
      </c>
      <c r="G924" s="11" t="s">
        <v>126</v>
      </c>
      <c r="H924" s="11" t="s">
        <v>43</v>
      </c>
      <c r="I924" s="11" t="s">
        <v>44</v>
      </c>
      <c r="J924" s="11" t="s">
        <v>106</v>
      </c>
      <c r="K924" s="13" t="n">
        <v>480.46</v>
      </c>
      <c r="L924" s="11" t="n">
        <v>21</v>
      </c>
      <c r="M924" s="14" t="n">
        <v>0</v>
      </c>
      <c r="N924" s="13" t="n">
        <v>213.77</v>
      </c>
      <c r="O924" s="13" t="n">
        <f aca="false">K924*L924*(1-M924)</f>
        <v>10089.66</v>
      </c>
      <c r="P924" s="13" t="n">
        <f aca="false">N924*L924</f>
        <v>4489.17</v>
      </c>
      <c r="Q924" s="13" t="n">
        <f aca="false">O924-P924</f>
        <v>5600.49</v>
      </c>
      <c r="R924" s="11" t="s">
        <v>46</v>
      </c>
      <c r="S924" s="11" t="s">
        <v>47</v>
      </c>
    </row>
    <row r="925" customFormat="false" ht="15" hidden="false" customHeight="true" outlineLevel="0" collapsed="false">
      <c r="A925" s="15" t="s">
        <v>1061</v>
      </c>
      <c r="B925" s="16" t="n">
        <v>45919</v>
      </c>
      <c r="C925" s="15" t="s">
        <v>57</v>
      </c>
      <c r="D925" s="15" t="s">
        <v>58</v>
      </c>
      <c r="E925" s="15" t="s">
        <v>59</v>
      </c>
      <c r="F925" s="15" t="s">
        <v>135</v>
      </c>
      <c r="G925" s="15" t="s">
        <v>52</v>
      </c>
      <c r="H925" s="15" t="s">
        <v>53</v>
      </c>
      <c r="I925" s="15" t="s">
        <v>94</v>
      </c>
      <c r="J925" s="15" t="s">
        <v>131</v>
      </c>
      <c r="K925" s="17" t="n">
        <v>34.69</v>
      </c>
      <c r="L925" s="15" t="n">
        <v>89</v>
      </c>
      <c r="M925" s="18" t="n">
        <v>0</v>
      </c>
      <c r="N925" s="17" t="n">
        <v>22.04</v>
      </c>
      <c r="O925" s="17" t="n">
        <f aca="false">K925*L925*(1-M925)</f>
        <v>3087.41</v>
      </c>
      <c r="P925" s="17" t="n">
        <f aca="false">N925*L925</f>
        <v>1961.56</v>
      </c>
      <c r="Q925" s="17" t="n">
        <f aca="false">O925-P925</f>
        <v>1125.85</v>
      </c>
      <c r="R925" s="15" t="s">
        <v>63</v>
      </c>
      <c r="S925" s="15" t="s">
        <v>187</v>
      </c>
    </row>
    <row r="926" customFormat="false" ht="15" hidden="false" customHeight="true" outlineLevel="0" collapsed="false">
      <c r="A926" s="11" t="s">
        <v>1062</v>
      </c>
      <c r="B926" s="12" t="n">
        <v>45920</v>
      </c>
      <c r="C926" s="11" t="s">
        <v>38</v>
      </c>
      <c r="D926" s="11" t="s">
        <v>39</v>
      </c>
      <c r="E926" s="11" t="s">
        <v>40</v>
      </c>
      <c r="F926" s="11" t="s">
        <v>60</v>
      </c>
      <c r="G926" s="11" t="s">
        <v>52</v>
      </c>
      <c r="H926" s="11" t="s">
        <v>53</v>
      </c>
      <c r="I926" s="11" t="s">
        <v>54</v>
      </c>
      <c r="J926" s="11" t="s">
        <v>55</v>
      </c>
      <c r="K926" s="13" t="n">
        <v>22.72</v>
      </c>
      <c r="L926" s="11" t="n">
        <v>133</v>
      </c>
      <c r="M926" s="14" t="n">
        <v>0.15</v>
      </c>
      <c r="N926" s="13" t="n">
        <v>13.31</v>
      </c>
      <c r="O926" s="13" t="n">
        <f aca="false">K926*L926*(1-M926)</f>
        <v>2568.496</v>
      </c>
      <c r="P926" s="13" t="n">
        <f aca="false">N926*L926</f>
        <v>1770.23</v>
      </c>
      <c r="Q926" s="13" t="n">
        <f aca="false">O926-P926</f>
        <v>798.266</v>
      </c>
      <c r="R926" s="11" t="s">
        <v>114</v>
      </c>
      <c r="S926" s="11" t="s">
        <v>47</v>
      </c>
    </row>
    <row r="927" customFormat="false" ht="15" hidden="false" customHeight="true" outlineLevel="0" collapsed="false">
      <c r="A927" s="15" t="s">
        <v>1063</v>
      </c>
      <c r="B927" s="16" t="n">
        <v>45920</v>
      </c>
      <c r="C927" s="15" t="s">
        <v>57</v>
      </c>
      <c r="D927" s="15" t="s">
        <v>162</v>
      </c>
      <c r="E927" s="15" t="s">
        <v>163</v>
      </c>
      <c r="F927" s="15" t="s">
        <v>135</v>
      </c>
      <c r="G927" s="15" t="s">
        <v>130</v>
      </c>
      <c r="H927" s="15" t="s">
        <v>43</v>
      </c>
      <c r="I927" s="15" t="s">
        <v>44</v>
      </c>
      <c r="J927" s="15" t="s">
        <v>45</v>
      </c>
      <c r="K927" s="17" t="n">
        <v>218.57</v>
      </c>
      <c r="L927" s="15" t="n">
        <v>79</v>
      </c>
      <c r="M927" s="18" t="n">
        <v>0</v>
      </c>
      <c r="N927" s="17" t="n">
        <v>61.93</v>
      </c>
      <c r="O927" s="17" t="n">
        <f aca="false">K927*L927*(1-M927)</f>
        <v>17267.03</v>
      </c>
      <c r="P927" s="17" t="n">
        <f aca="false">N927*L927</f>
        <v>4892.47</v>
      </c>
      <c r="Q927" s="17" t="n">
        <f aca="false">O927-P927</f>
        <v>12374.56</v>
      </c>
      <c r="R927" s="15" t="s">
        <v>167</v>
      </c>
      <c r="S927" s="15" t="s">
        <v>47</v>
      </c>
    </row>
    <row r="928" customFormat="false" ht="15" hidden="false" customHeight="true" outlineLevel="0" collapsed="false">
      <c r="A928" s="11" t="s">
        <v>1064</v>
      </c>
      <c r="B928" s="12" t="n">
        <v>45923</v>
      </c>
      <c r="C928" s="11" t="s">
        <v>57</v>
      </c>
      <c r="D928" s="11" t="s">
        <v>103</v>
      </c>
      <c r="E928" s="11" t="s">
        <v>104</v>
      </c>
      <c r="F928" s="11" t="s">
        <v>51</v>
      </c>
      <c r="G928" s="11" t="s">
        <v>42</v>
      </c>
      <c r="H928" s="11" t="s">
        <v>43</v>
      </c>
      <c r="I928" s="11" t="s">
        <v>44</v>
      </c>
      <c r="J928" s="11" t="s">
        <v>106</v>
      </c>
      <c r="K928" s="13" t="n">
        <v>459.31</v>
      </c>
      <c r="L928" s="11" t="n">
        <v>10</v>
      </c>
      <c r="M928" s="14" t="n">
        <v>0.1</v>
      </c>
      <c r="N928" s="13" t="n">
        <v>195.19</v>
      </c>
      <c r="O928" s="13" t="n">
        <f aca="false">K928*L928*(1-M928)</f>
        <v>4133.79</v>
      </c>
      <c r="P928" s="13" t="n">
        <f aca="false">N928*L928</f>
        <v>1951.9</v>
      </c>
      <c r="Q928" s="13" t="n">
        <f aca="false">O928-P928</f>
        <v>2181.89</v>
      </c>
      <c r="R928" s="11" t="s">
        <v>46</v>
      </c>
      <c r="S928" s="11" t="s">
        <v>47</v>
      </c>
    </row>
    <row r="929" customFormat="false" ht="15" hidden="false" customHeight="true" outlineLevel="0" collapsed="false">
      <c r="A929" s="15" t="s">
        <v>1065</v>
      </c>
      <c r="B929" s="16" t="n">
        <v>45924</v>
      </c>
      <c r="C929" s="15" t="s">
        <v>57</v>
      </c>
      <c r="D929" s="15" t="s">
        <v>162</v>
      </c>
      <c r="E929" s="15" t="s">
        <v>163</v>
      </c>
      <c r="F929" s="15" t="s">
        <v>68</v>
      </c>
      <c r="G929" s="15" t="s">
        <v>52</v>
      </c>
      <c r="H929" s="15" t="s">
        <v>78</v>
      </c>
      <c r="I929" s="15" t="s">
        <v>120</v>
      </c>
      <c r="J929" s="15" t="s">
        <v>232</v>
      </c>
      <c r="K929" s="17" t="n">
        <v>278.59</v>
      </c>
      <c r="L929" s="15" t="n">
        <v>8</v>
      </c>
      <c r="M929" s="18" t="n">
        <v>0.1</v>
      </c>
      <c r="N929" s="17" t="n">
        <v>208.05</v>
      </c>
      <c r="O929" s="17" t="n">
        <f aca="false">K929*L929*(1-M929)</f>
        <v>2005.848</v>
      </c>
      <c r="P929" s="17" t="n">
        <f aca="false">N929*L929</f>
        <v>1664.4</v>
      </c>
      <c r="Q929" s="17" t="n">
        <f aca="false">O929-P929</f>
        <v>341.448</v>
      </c>
      <c r="R929" s="15" t="s">
        <v>71</v>
      </c>
      <c r="S929" s="15" t="s">
        <v>47</v>
      </c>
    </row>
    <row r="930" customFormat="false" ht="15" hidden="false" customHeight="true" outlineLevel="0" collapsed="false">
      <c r="A930" s="11" t="s">
        <v>1066</v>
      </c>
      <c r="B930" s="12" t="n">
        <v>45924</v>
      </c>
      <c r="C930" s="11" t="s">
        <v>65</v>
      </c>
      <c r="D930" s="11" t="s">
        <v>66</v>
      </c>
      <c r="E930" s="11" t="s">
        <v>67</v>
      </c>
      <c r="F930" s="11" t="s">
        <v>123</v>
      </c>
      <c r="G930" s="11" t="s">
        <v>126</v>
      </c>
      <c r="H930" s="11" t="s">
        <v>78</v>
      </c>
      <c r="I930" s="11" t="s">
        <v>79</v>
      </c>
      <c r="J930" s="11" t="s">
        <v>242</v>
      </c>
      <c r="K930" s="13" t="n">
        <v>4608.3</v>
      </c>
      <c r="L930" s="11" t="n">
        <v>4</v>
      </c>
      <c r="M930" s="14" t="n">
        <v>0.15</v>
      </c>
      <c r="N930" s="13" t="n">
        <v>4028.23</v>
      </c>
      <c r="O930" s="13" t="n">
        <f aca="false">K930*L930*(1-M930)</f>
        <v>15668.22</v>
      </c>
      <c r="P930" s="13" t="n">
        <f aca="false">N930*L930</f>
        <v>16112.92</v>
      </c>
      <c r="Q930" s="13" t="n">
        <f aca="false">O930-P930</f>
        <v>-444.700000000001</v>
      </c>
      <c r="R930" s="11" t="s">
        <v>46</v>
      </c>
      <c r="S930" s="11" t="s">
        <v>47</v>
      </c>
    </row>
    <row r="931" customFormat="false" ht="15" hidden="false" customHeight="true" outlineLevel="0" collapsed="false">
      <c r="A931" s="15" t="s">
        <v>1067</v>
      </c>
      <c r="B931" s="16" t="n">
        <v>45926</v>
      </c>
      <c r="C931" s="15" t="s">
        <v>57</v>
      </c>
      <c r="D931" s="15" t="s">
        <v>162</v>
      </c>
      <c r="E931" s="15" t="s">
        <v>163</v>
      </c>
      <c r="F931" s="15" t="s">
        <v>99</v>
      </c>
      <c r="G931" s="15" t="s">
        <v>52</v>
      </c>
      <c r="H931" s="15" t="s">
        <v>78</v>
      </c>
      <c r="I931" s="15" t="s">
        <v>154</v>
      </c>
      <c r="J931" s="15" t="s">
        <v>186</v>
      </c>
      <c r="K931" s="17" t="n">
        <v>584.67</v>
      </c>
      <c r="L931" s="15" t="n">
        <v>2</v>
      </c>
      <c r="M931" s="18" t="n">
        <v>0.05</v>
      </c>
      <c r="N931" s="17" t="n">
        <v>495.24</v>
      </c>
      <c r="O931" s="17" t="n">
        <f aca="false">K931*L931*(1-M931)</f>
        <v>1110.873</v>
      </c>
      <c r="P931" s="17" t="n">
        <f aca="false">N931*L931</f>
        <v>990.48</v>
      </c>
      <c r="Q931" s="17" t="n">
        <f aca="false">O931-P931</f>
        <v>120.393</v>
      </c>
      <c r="R931" s="15" t="s">
        <v>46</v>
      </c>
      <c r="S931" s="15" t="s">
        <v>187</v>
      </c>
    </row>
    <row r="932" customFormat="false" ht="15" hidden="false" customHeight="true" outlineLevel="0" collapsed="false">
      <c r="A932" s="11" t="s">
        <v>1068</v>
      </c>
      <c r="B932" s="12" t="n">
        <v>45927</v>
      </c>
      <c r="C932" s="11" t="s">
        <v>49</v>
      </c>
      <c r="D932" s="11" t="s">
        <v>152</v>
      </c>
      <c r="E932" s="11" t="s">
        <v>152</v>
      </c>
      <c r="F932" s="11" t="s">
        <v>109</v>
      </c>
      <c r="G932" s="11" t="s">
        <v>52</v>
      </c>
      <c r="H932" s="11" t="s">
        <v>78</v>
      </c>
      <c r="I932" s="11" t="s">
        <v>120</v>
      </c>
      <c r="J932" s="11" t="s">
        <v>121</v>
      </c>
      <c r="K932" s="13" t="n">
        <v>316.13</v>
      </c>
      <c r="L932" s="11" t="n">
        <v>46</v>
      </c>
      <c r="M932" s="14" t="n">
        <v>0.05</v>
      </c>
      <c r="N932" s="13" t="n">
        <v>230.25</v>
      </c>
      <c r="O932" s="13" t="n">
        <f aca="false">K932*L932*(1-M932)</f>
        <v>13814.881</v>
      </c>
      <c r="P932" s="13" t="n">
        <f aca="false">N932*L932</f>
        <v>10591.5</v>
      </c>
      <c r="Q932" s="13" t="n">
        <f aca="false">O932-P932</f>
        <v>3223.381</v>
      </c>
      <c r="R932" s="11" t="s">
        <v>114</v>
      </c>
      <c r="S932" s="11" t="s">
        <v>47</v>
      </c>
    </row>
    <row r="933" customFormat="false" ht="15" hidden="false" customHeight="true" outlineLevel="0" collapsed="false">
      <c r="A933" s="15" t="s">
        <v>1069</v>
      </c>
      <c r="B933" s="16" t="n">
        <v>45927</v>
      </c>
      <c r="C933" s="15" t="s">
        <v>65</v>
      </c>
      <c r="D933" s="15" t="s">
        <v>82</v>
      </c>
      <c r="E933" s="15" t="s">
        <v>83</v>
      </c>
      <c r="F933" s="15" t="s">
        <v>68</v>
      </c>
      <c r="G933" s="15" t="s">
        <v>126</v>
      </c>
      <c r="H933" s="15" t="s">
        <v>43</v>
      </c>
      <c r="I933" s="15" t="s">
        <v>61</v>
      </c>
      <c r="J933" s="15" t="s">
        <v>147</v>
      </c>
      <c r="K933" s="17" t="n">
        <v>393.94</v>
      </c>
      <c r="L933" s="15" t="n">
        <v>46</v>
      </c>
      <c r="M933" s="18" t="n">
        <v>0.1</v>
      </c>
      <c r="N933" s="17" t="n">
        <v>166.84</v>
      </c>
      <c r="O933" s="17" t="n">
        <f aca="false">K933*L933*(1-M933)</f>
        <v>16309.116</v>
      </c>
      <c r="P933" s="17" t="n">
        <f aca="false">N933*L933</f>
        <v>7674.64</v>
      </c>
      <c r="Q933" s="17" t="n">
        <f aca="false">O933-P933</f>
        <v>8634.476</v>
      </c>
      <c r="R933" s="15" t="s">
        <v>63</v>
      </c>
      <c r="S933" s="15" t="s">
        <v>72</v>
      </c>
    </row>
    <row r="934" customFormat="false" ht="15" hidden="false" customHeight="true" outlineLevel="0" collapsed="false">
      <c r="A934" s="11" t="s">
        <v>1070</v>
      </c>
      <c r="B934" s="12" t="n">
        <v>45927</v>
      </c>
      <c r="C934" s="11" t="s">
        <v>38</v>
      </c>
      <c r="D934" s="11" t="s">
        <v>39</v>
      </c>
      <c r="E934" s="11" t="s">
        <v>40</v>
      </c>
      <c r="F934" s="11" t="s">
        <v>68</v>
      </c>
      <c r="G934" s="11" t="s">
        <v>52</v>
      </c>
      <c r="H934" s="11" t="s">
        <v>53</v>
      </c>
      <c r="I934" s="11" t="s">
        <v>54</v>
      </c>
      <c r="J934" s="11" t="s">
        <v>55</v>
      </c>
      <c r="K934" s="13" t="n">
        <v>17.57</v>
      </c>
      <c r="L934" s="11" t="n">
        <v>171</v>
      </c>
      <c r="M934" s="14" t="n">
        <v>0</v>
      </c>
      <c r="N934" s="13" t="n">
        <v>11.03</v>
      </c>
      <c r="O934" s="13" t="n">
        <f aca="false">K934*L934*(1-M934)</f>
        <v>3004.47</v>
      </c>
      <c r="P934" s="13" t="n">
        <f aca="false">N934*L934</f>
        <v>1886.13</v>
      </c>
      <c r="Q934" s="13" t="n">
        <f aca="false">O934-P934</f>
        <v>1118.34</v>
      </c>
      <c r="R934" s="11" t="s">
        <v>63</v>
      </c>
      <c r="S934" s="11" t="s">
        <v>47</v>
      </c>
    </row>
    <row r="935" customFormat="false" ht="15" hidden="false" customHeight="true" outlineLevel="0" collapsed="false">
      <c r="A935" s="15" t="s">
        <v>1071</v>
      </c>
      <c r="B935" s="16" t="n">
        <v>45928</v>
      </c>
      <c r="C935" s="15" t="s">
        <v>49</v>
      </c>
      <c r="D935" s="15" t="s">
        <v>97</v>
      </c>
      <c r="E935" s="15" t="s">
        <v>108</v>
      </c>
      <c r="F935" s="15" t="s">
        <v>118</v>
      </c>
      <c r="G935" s="15" t="s">
        <v>130</v>
      </c>
      <c r="H935" s="15" t="s">
        <v>53</v>
      </c>
      <c r="I935" s="15" t="s">
        <v>94</v>
      </c>
      <c r="J935" s="15" t="s">
        <v>131</v>
      </c>
      <c r="K935" s="17" t="n">
        <v>27.54</v>
      </c>
      <c r="L935" s="15" t="n">
        <v>82</v>
      </c>
      <c r="M935" s="18" t="n">
        <v>0.2</v>
      </c>
      <c r="N935" s="17" t="n">
        <v>18.11</v>
      </c>
      <c r="O935" s="17" t="n">
        <f aca="false">K935*L935*(1-M935)</f>
        <v>1806.624</v>
      </c>
      <c r="P935" s="17" t="n">
        <f aca="false">N935*L935</f>
        <v>1485.02</v>
      </c>
      <c r="Q935" s="17" t="n">
        <f aca="false">O935-P935</f>
        <v>321.604</v>
      </c>
      <c r="R935" s="15" t="s">
        <v>114</v>
      </c>
      <c r="S935" s="15" t="s">
        <v>47</v>
      </c>
    </row>
    <row r="936" customFormat="false" ht="15" hidden="false" customHeight="true" outlineLevel="0" collapsed="false">
      <c r="A936" s="11" t="s">
        <v>1072</v>
      </c>
      <c r="B936" s="12" t="n">
        <v>45930</v>
      </c>
      <c r="C936" s="11" t="s">
        <v>74</v>
      </c>
      <c r="D936" s="11" t="s">
        <v>171</v>
      </c>
      <c r="E936" s="11" t="s">
        <v>172</v>
      </c>
      <c r="F936" s="11" t="s">
        <v>99</v>
      </c>
      <c r="G936" s="11" t="s">
        <v>52</v>
      </c>
      <c r="H936" s="11" t="s">
        <v>78</v>
      </c>
      <c r="I936" s="11" t="s">
        <v>120</v>
      </c>
      <c r="J936" s="11" t="s">
        <v>121</v>
      </c>
      <c r="K936" s="13" t="n">
        <v>209.66</v>
      </c>
      <c r="L936" s="11" t="n">
        <v>35</v>
      </c>
      <c r="M936" s="14" t="n">
        <v>0.05</v>
      </c>
      <c r="N936" s="13" t="n">
        <v>150.61</v>
      </c>
      <c r="O936" s="13" t="n">
        <f aca="false">K936*L936*(1-M936)</f>
        <v>6971.195</v>
      </c>
      <c r="P936" s="13" t="n">
        <f aca="false">N936*L936</f>
        <v>5271.35</v>
      </c>
      <c r="Q936" s="13" t="n">
        <f aca="false">O936-P936</f>
        <v>1699.845</v>
      </c>
      <c r="R936" s="11" t="s">
        <v>114</v>
      </c>
      <c r="S936" s="11" t="s">
        <v>47</v>
      </c>
    </row>
    <row r="937" customFormat="false" ht="15" hidden="false" customHeight="true" outlineLevel="0" collapsed="false">
      <c r="A937" s="15" t="s">
        <v>1073</v>
      </c>
      <c r="B937" s="16" t="n">
        <v>45930</v>
      </c>
      <c r="C937" s="15" t="s">
        <v>49</v>
      </c>
      <c r="D937" s="15" t="s">
        <v>97</v>
      </c>
      <c r="E937" s="15" t="s">
        <v>108</v>
      </c>
      <c r="F937" s="15" t="s">
        <v>51</v>
      </c>
      <c r="G937" s="15" t="s">
        <v>77</v>
      </c>
      <c r="H937" s="15" t="s">
        <v>78</v>
      </c>
      <c r="I937" s="15" t="s">
        <v>79</v>
      </c>
      <c r="J937" s="15" t="s">
        <v>242</v>
      </c>
      <c r="K937" s="17" t="n">
        <v>3608.59</v>
      </c>
      <c r="L937" s="15" t="n">
        <v>8</v>
      </c>
      <c r="M937" s="18" t="n">
        <v>0</v>
      </c>
      <c r="N937" s="17" t="n">
        <v>3032.89</v>
      </c>
      <c r="O937" s="17" t="n">
        <f aca="false">K937*L937*(1-M937)</f>
        <v>28868.72</v>
      </c>
      <c r="P937" s="17" t="n">
        <f aca="false">N937*L937</f>
        <v>24263.12</v>
      </c>
      <c r="Q937" s="17" t="n">
        <f aca="false">O937-P937</f>
        <v>4605.6</v>
      </c>
      <c r="R937" s="15" t="s">
        <v>63</v>
      </c>
      <c r="S937" s="15" t="s">
        <v>187</v>
      </c>
    </row>
    <row r="938" customFormat="false" ht="15" hidden="false" customHeight="true" outlineLevel="0" collapsed="false">
      <c r="A938" s="11" t="s">
        <v>1074</v>
      </c>
      <c r="B938" s="12" t="n">
        <v>45930</v>
      </c>
      <c r="C938" s="11" t="s">
        <v>49</v>
      </c>
      <c r="D938" s="11" t="s">
        <v>97</v>
      </c>
      <c r="E938" s="11" t="s">
        <v>98</v>
      </c>
      <c r="F938" s="11" t="s">
        <v>177</v>
      </c>
      <c r="G938" s="11" t="s">
        <v>130</v>
      </c>
      <c r="H938" s="11" t="s">
        <v>84</v>
      </c>
      <c r="I938" s="11" t="s">
        <v>85</v>
      </c>
      <c r="J938" s="11" t="s">
        <v>86</v>
      </c>
      <c r="K938" s="13" t="n">
        <v>328.52</v>
      </c>
      <c r="L938" s="11" t="n">
        <v>15</v>
      </c>
      <c r="M938" s="14" t="n">
        <v>0</v>
      </c>
      <c r="N938" s="13" t="n">
        <v>236.75</v>
      </c>
      <c r="O938" s="13" t="n">
        <f aca="false">K938*L938*(1-M938)</f>
        <v>4927.8</v>
      </c>
      <c r="P938" s="13" t="n">
        <f aca="false">N938*L938</f>
        <v>3551.25</v>
      </c>
      <c r="Q938" s="13" t="n">
        <f aca="false">O938-P938</f>
        <v>1376.55</v>
      </c>
      <c r="R938" s="11" t="s">
        <v>63</v>
      </c>
      <c r="S938" s="11" t="s">
        <v>47</v>
      </c>
    </row>
    <row r="939" customFormat="false" ht="15" hidden="false" customHeight="true" outlineLevel="0" collapsed="false">
      <c r="A939" s="15" t="s">
        <v>1075</v>
      </c>
      <c r="B939" s="16" t="n">
        <v>45931</v>
      </c>
      <c r="C939" s="15" t="s">
        <v>65</v>
      </c>
      <c r="D939" s="15" t="s">
        <v>149</v>
      </c>
      <c r="E939" s="15" t="s">
        <v>150</v>
      </c>
      <c r="F939" s="15" t="s">
        <v>41</v>
      </c>
      <c r="G939" s="15" t="s">
        <v>42</v>
      </c>
      <c r="H939" s="15" t="s">
        <v>53</v>
      </c>
      <c r="I939" s="15" t="s">
        <v>69</v>
      </c>
      <c r="J939" s="15" t="s">
        <v>70</v>
      </c>
      <c r="K939" s="17" t="n">
        <v>33.05</v>
      </c>
      <c r="L939" s="15" t="n">
        <v>41</v>
      </c>
      <c r="M939" s="18" t="n">
        <v>0</v>
      </c>
      <c r="N939" s="17" t="n">
        <v>24.25</v>
      </c>
      <c r="O939" s="17" t="n">
        <f aca="false">K939*L939*(1-M939)</f>
        <v>1355.05</v>
      </c>
      <c r="P939" s="17" t="n">
        <f aca="false">N939*L939</f>
        <v>994.25</v>
      </c>
      <c r="Q939" s="17" t="n">
        <f aca="false">O939-P939</f>
        <v>360.8</v>
      </c>
      <c r="R939" s="15" t="s">
        <v>46</v>
      </c>
      <c r="S939" s="15" t="s">
        <v>47</v>
      </c>
    </row>
    <row r="940" customFormat="false" ht="15" hidden="false" customHeight="true" outlineLevel="0" collapsed="false">
      <c r="A940" s="11" t="s">
        <v>1076</v>
      </c>
      <c r="B940" s="12" t="n">
        <v>45931</v>
      </c>
      <c r="C940" s="11" t="s">
        <v>65</v>
      </c>
      <c r="D940" s="11" t="s">
        <v>82</v>
      </c>
      <c r="E940" s="11" t="s">
        <v>83</v>
      </c>
      <c r="F940" s="11" t="s">
        <v>109</v>
      </c>
      <c r="G940" s="11" t="s">
        <v>52</v>
      </c>
      <c r="H940" s="11" t="s">
        <v>53</v>
      </c>
      <c r="I940" s="11" t="s">
        <v>94</v>
      </c>
      <c r="J940" s="11" t="s">
        <v>95</v>
      </c>
      <c r="K940" s="13" t="n">
        <v>34.69</v>
      </c>
      <c r="L940" s="11" t="n">
        <v>39</v>
      </c>
      <c r="M940" s="14" t="n">
        <v>0.1</v>
      </c>
      <c r="N940" s="13" t="n">
        <v>20.83</v>
      </c>
      <c r="O940" s="13" t="n">
        <f aca="false">K940*L940*(1-M940)</f>
        <v>1217.619</v>
      </c>
      <c r="P940" s="13" t="n">
        <f aca="false">N940*L940</f>
        <v>812.37</v>
      </c>
      <c r="Q940" s="13" t="n">
        <f aca="false">O940-P940</f>
        <v>405.249</v>
      </c>
      <c r="R940" s="11" t="s">
        <v>114</v>
      </c>
      <c r="S940" s="11" t="s">
        <v>72</v>
      </c>
    </row>
    <row r="941" customFormat="false" ht="15" hidden="false" customHeight="true" outlineLevel="0" collapsed="false">
      <c r="A941" s="15" t="s">
        <v>1077</v>
      </c>
      <c r="B941" s="16" t="n">
        <v>45932</v>
      </c>
      <c r="C941" s="15" t="s">
        <v>49</v>
      </c>
      <c r="D941" s="15" t="s">
        <v>97</v>
      </c>
      <c r="E941" s="15" t="s">
        <v>98</v>
      </c>
      <c r="F941" s="15" t="s">
        <v>123</v>
      </c>
      <c r="G941" s="15" t="s">
        <v>42</v>
      </c>
      <c r="H941" s="15" t="s">
        <v>78</v>
      </c>
      <c r="I941" s="15" t="s">
        <v>143</v>
      </c>
      <c r="J941" s="15" t="s">
        <v>158</v>
      </c>
      <c r="K941" s="17" t="n">
        <v>697.43</v>
      </c>
      <c r="L941" s="15" t="n">
        <v>10</v>
      </c>
      <c r="M941" s="18" t="n">
        <v>0.05</v>
      </c>
      <c r="N941" s="17" t="n">
        <v>594.79</v>
      </c>
      <c r="O941" s="17" t="n">
        <f aca="false">K941*L941*(1-M941)</f>
        <v>6625.585</v>
      </c>
      <c r="P941" s="17" t="n">
        <f aca="false">N941*L941</f>
        <v>5947.9</v>
      </c>
      <c r="Q941" s="17" t="n">
        <f aca="false">O941-P941</f>
        <v>677.685</v>
      </c>
      <c r="R941" s="15" t="s">
        <v>46</v>
      </c>
      <c r="S941" s="15" t="s">
        <v>47</v>
      </c>
    </row>
    <row r="942" customFormat="false" ht="15" hidden="false" customHeight="true" outlineLevel="0" collapsed="false">
      <c r="A942" s="11" t="s">
        <v>1078</v>
      </c>
      <c r="B942" s="12" t="n">
        <v>45933</v>
      </c>
      <c r="C942" s="11" t="s">
        <v>65</v>
      </c>
      <c r="D942" s="11" t="s">
        <v>149</v>
      </c>
      <c r="E942" s="11" t="s">
        <v>150</v>
      </c>
      <c r="F942" s="11" t="s">
        <v>60</v>
      </c>
      <c r="G942" s="11" t="s">
        <v>52</v>
      </c>
      <c r="H942" s="11" t="s">
        <v>78</v>
      </c>
      <c r="I942" s="11" t="s">
        <v>120</v>
      </c>
      <c r="J942" s="11" t="s">
        <v>232</v>
      </c>
      <c r="K942" s="13" t="n">
        <v>237.76</v>
      </c>
      <c r="L942" s="11" t="n">
        <v>66</v>
      </c>
      <c r="M942" s="14" t="n">
        <v>0.2</v>
      </c>
      <c r="N942" s="13" t="n">
        <v>188.42</v>
      </c>
      <c r="O942" s="13" t="n">
        <f aca="false">K942*L942*(1-M942)</f>
        <v>12553.728</v>
      </c>
      <c r="P942" s="13" t="n">
        <f aca="false">N942*L942</f>
        <v>12435.72</v>
      </c>
      <c r="Q942" s="13" t="n">
        <f aca="false">O942-P942</f>
        <v>118.008000000002</v>
      </c>
      <c r="R942" s="11" t="s">
        <v>114</v>
      </c>
      <c r="S942" s="11" t="s">
        <v>47</v>
      </c>
    </row>
    <row r="943" customFormat="false" ht="15" hidden="false" customHeight="true" outlineLevel="0" collapsed="false">
      <c r="A943" s="15" t="s">
        <v>1079</v>
      </c>
      <c r="B943" s="16" t="n">
        <v>45933</v>
      </c>
      <c r="C943" s="15" t="s">
        <v>57</v>
      </c>
      <c r="D943" s="15" t="s">
        <v>58</v>
      </c>
      <c r="E943" s="15" t="s">
        <v>59</v>
      </c>
      <c r="F943" s="15" t="s">
        <v>135</v>
      </c>
      <c r="G943" s="15" t="s">
        <v>42</v>
      </c>
      <c r="H943" s="15" t="s">
        <v>78</v>
      </c>
      <c r="I943" s="15" t="s">
        <v>143</v>
      </c>
      <c r="J943" s="15" t="s">
        <v>158</v>
      </c>
      <c r="K943" s="17" t="n">
        <v>903.92</v>
      </c>
      <c r="L943" s="15" t="n">
        <v>7</v>
      </c>
      <c r="M943" s="18" t="n">
        <v>0.05</v>
      </c>
      <c r="N943" s="17" t="n">
        <v>757.12</v>
      </c>
      <c r="O943" s="17" t="n">
        <f aca="false">K943*L943*(1-M943)</f>
        <v>6011.068</v>
      </c>
      <c r="P943" s="17" t="n">
        <f aca="false">N943*L943</f>
        <v>5299.84</v>
      </c>
      <c r="Q943" s="17" t="n">
        <f aca="false">O943-P943</f>
        <v>711.227999999999</v>
      </c>
      <c r="R943" s="15" t="s">
        <v>114</v>
      </c>
      <c r="S943" s="15" t="s">
        <v>47</v>
      </c>
    </row>
    <row r="944" customFormat="false" ht="15" hidden="false" customHeight="true" outlineLevel="0" collapsed="false">
      <c r="A944" s="11" t="s">
        <v>1080</v>
      </c>
      <c r="B944" s="12" t="n">
        <v>45934</v>
      </c>
      <c r="C944" s="11" t="s">
        <v>65</v>
      </c>
      <c r="D944" s="11" t="s">
        <v>82</v>
      </c>
      <c r="E944" s="11" t="s">
        <v>83</v>
      </c>
      <c r="F944" s="11" t="s">
        <v>68</v>
      </c>
      <c r="G944" s="11" t="s">
        <v>52</v>
      </c>
      <c r="H944" s="11" t="s">
        <v>53</v>
      </c>
      <c r="I944" s="11" t="s">
        <v>54</v>
      </c>
      <c r="J944" s="11" t="s">
        <v>113</v>
      </c>
      <c r="K944" s="13" t="n">
        <v>27.13</v>
      </c>
      <c r="L944" s="11" t="n">
        <v>141</v>
      </c>
      <c r="M944" s="14" t="n">
        <v>0.05</v>
      </c>
      <c r="N944" s="13" t="n">
        <v>19.05</v>
      </c>
      <c r="O944" s="13" t="n">
        <f aca="false">K944*L944*(1-M944)</f>
        <v>3634.0635</v>
      </c>
      <c r="P944" s="13" t="n">
        <f aca="false">N944*L944</f>
        <v>2686.05</v>
      </c>
      <c r="Q944" s="13" t="n">
        <f aca="false">O944-P944</f>
        <v>948.0135</v>
      </c>
      <c r="R944" s="11" t="s">
        <v>114</v>
      </c>
      <c r="S944" s="11" t="s">
        <v>47</v>
      </c>
    </row>
    <row r="945" customFormat="false" ht="15" hidden="false" customHeight="true" outlineLevel="0" collapsed="false">
      <c r="A945" s="15" t="s">
        <v>1081</v>
      </c>
      <c r="B945" s="16" t="n">
        <v>45934</v>
      </c>
      <c r="C945" s="15" t="s">
        <v>38</v>
      </c>
      <c r="D945" s="15" t="s">
        <v>39</v>
      </c>
      <c r="E945" s="15" t="s">
        <v>40</v>
      </c>
      <c r="F945" s="15" t="s">
        <v>68</v>
      </c>
      <c r="G945" s="15" t="s">
        <v>42</v>
      </c>
      <c r="H945" s="15" t="s">
        <v>84</v>
      </c>
      <c r="I945" s="15" t="s">
        <v>85</v>
      </c>
      <c r="J945" s="15" t="s">
        <v>90</v>
      </c>
      <c r="K945" s="17" t="n">
        <v>437.11</v>
      </c>
      <c r="L945" s="15" t="n">
        <v>16</v>
      </c>
      <c r="M945" s="18" t="n">
        <v>0.1</v>
      </c>
      <c r="N945" s="17" t="n">
        <v>344.98</v>
      </c>
      <c r="O945" s="17" t="n">
        <f aca="false">K945*L945*(1-M945)</f>
        <v>6294.384</v>
      </c>
      <c r="P945" s="17" t="n">
        <f aca="false">N945*L945</f>
        <v>5519.68</v>
      </c>
      <c r="Q945" s="17" t="n">
        <f aca="false">O945-P945</f>
        <v>774.704</v>
      </c>
      <c r="R945" s="15" t="s">
        <v>167</v>
      </c>
      <c r="S945" s="15" t="s">
        <v>47</v>
      </c>
    </row>
    <row r="946" customFormat="false" ht="15" hidden="false" customHeight="true" outlineLevel="0" collapsed="false">
      <c r="A946" s="11" t="s">
        <v>1082</v>
      </c>
      <c r="B946" s="12" t="n">
        <v>45934</v>
      </c>
      <c r="C946" s="11" t="s">
        <v>57</v>
      </c>
      <c r="D946" s="11" t="s">
        <v>162</v>
      </c>
      <c r="E946" s="11" t="s">
        <v>163</v>
      </c>
      <c r="F946" s="11" t="s">
        <v>123</v>
      </c>
      <c r="G946" s="11" t="s">
        <v>52</v>
      </c>
      <c r="H946" s="11" t="s">
        <v>78</v>
      </c>
      <c r="I946" s="11" t="s">
        <v>120</v>
      </c>
      <c r="J946" s="11" t="s">
        <v>235</v>
      </c>
      <c r="K946" s="13" t="n">
        <v>108.46</v>
      </c>
      <c r="L946" s="11" t="n">
        <v>80</v>
      </c>
      <c r="M946" s="14" t="n">
        <v>0</v>
      </c>
      <c r="N946" s="13" t="n">
        <v>83.97</v>
      </c>
      <c r="O946" s="13" t="n">
        <f aca="false">K946*L946*(1-M946)</f>
        <v>8676.8</v>
      </c>
      <c r="P946" s="13" t="n">
        <f aca="false">N946*L946</f>
        <v>6717.6</v>
      </c>
      <c r="Q946" s="13" t="n">
        <f aca="false">O946-P946</f>
        <v>1959.2</v>
      </c>
      <c r="R946" s="11" t="s">
        <v>63</v>
      </c>
      <c r="S946" s="11" t="s">
        <v>124</v>
      </c>
    </row>
    <row r="947" customFormat="false" ht="15" hidden="false" customHeight="true" outlineLevel="0" collapsed="false">
      <c r="A947" s="15" t="s">
        <v>1083</v>
      </c>
      <c r="B947" s="16" t="n">
        <v>45935</v>
      </c>
      <c r="C947" s="15" t="s">
        <v>65</v>
      </c>
      <c r="D947" s="15" t="s">
        <v>149</v>
      </c>
      <c r="E947" s="15" t="s">
        <v>150</v>
      </c>
      <c r="F947" s="15" t="s">
        <v>135</v>
      </c>
      <c r="G947" s="15" t="s">
        <v>42</v>
      </c>
      <c r="H947" s="15" t="s">
        <v>78</v>
      </c>
      <c r="I947" s="15" t="s">
        <v>154</v>
      </c>
      <c r="J947" s="15" t="s">
        <v>186</v>
      </c>
      <c r="K947" s="17" t="n">
        <v>690.44</v>
      </c>
      <c r="L947" s="15" t="n">
        <v>14</v>
      </c>
      <c r="M947" s="18" t="n">
        <v>0.1</v>
      </c>
      <c r="N947" s="17" t="n">
        <v>578.81</v>
      </c>
      <c r="O947" s="17" t="n">
        <f aca="false">K947*L947*(1-M947)</f>
        <v>8699.544</v>
      </c>
      <c r="P947" s="17" t="n">
        <f aca="false">N947*L947</f>
        <v>8103.34</v>
      </c>
      <c r="Q947" s="17" t="n">
        <f aca="false">O947-P947</f>
        <v>596.204000000001</v>
      </c>
      <c r="R947" s="15" t="s">
        <v>167</v>
      </c>
      <c r="S947" s="15" t="s">
        <v>47</v>
      </c>
    </row>
    <row r="948" customFormat="false" ht="15" hidden="false" customHeight="true" outlineLevel="0" collapsed="false">
      <c r="A948" s="11" t="s">
        <v>1084</v>
      </c>
      <c r="B948" s="12" t="n">
        <v>45936</v>
      </c>
      <c r="C948" s="11" t="s">
        <v>57</v>
      </c>
      <c r="D948" s="11" t="s">
        <v>162</v>
      </c>
      <c r="E948" s="11" t="s">
        <v>163</v>
      </c>
      <c r="F948" s="11" t="s">
        <v>99</v>
      </c>
      <c r="G948" s="11" t="s">
        <v>52</v>
      </c>
      <c r="H948" s="11" t="s">
        <v>43</v>
      </c>
      <c r="I948" s="11" t="s">
        <v>61</v>
      </c>
      <c r="J948" s="11" t="s">
        <v>147</v>
      </c>
      <c r="K948" s="13" t="n">
        <v>390.84</v>
      </c>
      <c r="L948" s="11" t="n">
        <v>47</v>
      </c>
      <c r="M948" s="14" t="n">
        <v>0.05</v>
      </c>
      <c r="N948" s="13" t="n">
        <v>134.98</v>
      </c>
      <c r="O948" s="13" t="n">
        <f aca="false">K948*L948*(1-M948)</f>
        <v>17451.006</v>
      </c>
      <c r="P948" s="13" t="n">
        <f aca="false">N948*L948</f>
        <v>6344.06</v>
      </c>
      <c r="Q948" s="13" t="n">
        <f aca="false">O948-P948</f>
        <v>11106.946</v>
      </c>
      <c r="R948" s="11" t="s">
        <v>46</v>
      </c>
      <c r="S948" s="11" t="s">
        <v>47</v>
      </c>
    </row>
    <row r="949" customFormat="false" ht="15" hidden="false" customHeight="true" outlineLevel="0" collapsed="false">
      <c r="A949" s="15" t="s">
        <v>1085</v>
      </c>
      <c r="B949" s="16" t="n">
        <v>45936</v>
      </c>
      <c r="C949" s="15" t="s">
        <v>57</v>
      </c>
      <c r="D949" s="15" t="s">
        <v>58</v>
      </c>
      <c r="E949" s="15" t="s">
        <v>59</v>
      </c>
      <c r="F949" s="15" t="s">
        <v>109</v>
      </c>
      <c r="G949" s="15" t="s">
        <v>77</v>
      </c>
      <c r="H949" s="15" t="s">
        <v>78</v>
      </c>
      <c r="I949" s="15" t="s">
        <v>154</v>
      </c>
      <c r="J949" s="15" t="s">
        <v>186</v>
      </c>
      <c r="K949" s="17" t="n">
        <v>939</v>
      </c>
      <c r="L949" s="15" t="n">
        <v>9</v>
      </c>
      <c r="M949" s="18" t="n">
        <v>0</v>
      </c>
      <c r="N949" s="17" t="n">
        <v>769.62</v>
      </c>
      <c r="O949" s="17" t="n">
        <f aca="false">K949*L949*(1-M949)</f>
        <v>8451</v>
      </c>
      <c r="P949" s="17" t="n">
        <f aca="false">N949*L949</f>
        <v>6926.58</v>
      </c>
      <c r="Q949" s="17" t="n">
        <f aca="false">O949-P949</f>
        <v>1524.42</v>
      </c>
      <c r="R949" s="15" t="s">
        <v>63</v>
      </c>
      <c r="S949" s="15" t="s">
        <v>47</v>
      </c>
    </row>
    <row r="950" customFormat="false" ht="15" hidden="false" customHeight="true" outlineLevel="0" collapsed="false">
      <c r="A950" s="11" t="s">
        <v>1086</v>
      </c>
      <c r="B950" s="12" t="n">
        <v>45937</v>
      </c>
      <c r="C950" s="11" t="s">
        <v>49</v>
      </c>
      <c r="D950" s="11" t="s">
        <v>97</v>
      </c>
      <c r="E950" s="11" t="s">
        <v>98</v>
      </c>
      <c r="F950" s="11" t="s">
        <v>60</v>
      </c>
      <c r="G950" s="11" t="s">
        <v>77</v>
      </c>
      <c r="H950" s="11" t="s">
        <v>84</v>
      </c>
      <c r="I950" s="11" t="s">
        <v>85</v>
      </c>
      <c r="J950" s="11" t="s">
        <v>90</v>
      </c>
      <c r="K950" s="13" t="n">
        <v>786.72</v>
      </c>
      <c r="L950" s="11" t="n">
        <v>17</v>
      </c>
      <c r="M950" s="14" t="n">
        <v>0.05</v>
      </c>
      <c r="N950" s="13" t="n">
        <v>591.98</v>
      </c>
      <c r="O950" s="13" t="n">
        <f aca="false">K950*L950*(1-M950)</f>
        <v>12705.528</v>
      </c>
      <c r="P950" s="13" t="n">
        <f aca="false">N950*L950</f>
        <v>10063.66</v>
      </c>
      <c r="Q950" s="13" t="n">
        <f aca="false">O950-P950</f>
        <v>2641.868</v>
      </c>
      <c r="R950" s="11" t="s">
        <v>46</v>
      </c>
      <c r="S950" s="11" t="s">
        <v>47</v>
      </c>
    </row>
    <row r="951" customFormat="false" ht="15" hidden="false" customHeight="true" outlineLevel="0" collapsed="false">
      <c r="A951" s="15" t="s">
        <v>1087</v>
      </c>
      <c r="B951" s="16" t="n">
        <v>45937</v>
      </c>
      <c r="C951" s="15" t="s">
        <v>38</v>
      </c>
      <c r="D951" s="15" t="s">
        <v>39</v>
      </c>
      <c r="E951" s="15" t="s">
        <v>40</v>
      </c>
      <c r="F951" s="15" t="s">
        <v>60</v>
      </c>
      <c r="G951" s="15" t="s">
        <v>130</v>
      </c>
      <c r="H951" s="15" t="s">
        <v>53</v>
      </c>
      <c r="I951" s="15" t="s">
        <v>54</v>
      </c>
      <c r="J951" s="15" t="s">
        <v>55</v>
      </c>
      <c r="K951" s="17" t="n">
        <v>18.39</v>
      </c>
      <c r="L951" s="15" t="n">
        <v>34</v>
      </c>
      <c r="M951" s="18" t="n">
        <v>0</v>
      </c>
      <c r="N951" s="17" t="n">
        <v>11</v>
      </c>
      <c r="O951" s="17" t="n">
        <f aca="false">K951*L951*(1-M951)</f>
        <v>625.26</v>
      </c>
      <c r="P951" s="17" t="n">
        <f aca="false">N951*L951</f>
        <v>374</v>
      </c>
      <c r="Q951" s="17" t="n">
        <f aca="false">O951-P951</f>
        <v>251.26</v>
      </c>
      <c r="R951" s="15" t="s">
        <v>114</v>
      </c>
      <c r="S951" s="15" t="s">
        <v>47</v>
      </c>
    </row>
    <row r="952" customFormat="false" ht="15" hidden="false" customHeight="true" outlineLevel="0" collapsed="false">
      <c r="A952" s="11" t="s">
        <v>1088</v>
      </c>
      <c r="B952" s="12" t="n">
        <v>45938</v>
      </c>
      <c r="C952" s="11" t="s">
        <v>49</v>
      </c>
      <c r="D952" s="11" t="s">
        <v>97</v>
      </c>
      <c r="E952" s="11" t="s">
        <v>108</v>
      </c>
      <c r="F952" s="11" t="s">
        <v>123</v>
      </c>
      <c r="G952" s="11" t="s">
        <v>52</v>
      </c>
      <c r="H952" s="11" t="s">
        <v>78</v>
      </c>
      <c r="I952" s="11" t="s">
        <v>120</v>
      </c>
      <c r="J952" s="11" t="s">
        <v>235</v>
      </c>
      <c r="K952" s="13" t="n">
        <v>100.83</v>
      </c>
      <c r="L952" s="11" t="n">
        <v>97</v>
      </c>
      <c r="M952" s="14" t="n">
        <v>0.15</v>
      </c>
      <c r="N952" s="13" t="n">
        <v>77.49</v>
      </c>
      <c r="O952" s="13" t="n">
        <f aca="false">K952*L952*(1-M952)</f>
        <v>8313.4335</v>
      </c>
      <c r="P952" s="13" t="n">
        <f aca="false">N952*L952</f>
        <v>7516.53</v>
      </c>
      <c r="Q952" s="13" t="n">
        <f aca="false">O952-P952</f>
        <v>796.903499999999</v>
      </c>
      <c r="R952" s="11" t="s">
        <v>63</v>
      </c>
      <c r="S952" s="11" t="s">
        <v>47</v>
      </c>
    </row>
    <row r="953" customFormat="false" ht="15" hidden="false" customHeight="true" outlineLevel="0" collapsed="false">
      <c r="A953" s="15" t="s">
        <v>1089</v>
      </c>
      <c r="B953" s="16" t="n">
        <v>45939</v>
      </c>
      <c r="C953" s="15" t="s">
        <v>49</v>
      </c>
      <c r="D953" s="15" t="s">
        <v>97</v>
      </c>
      <c r="E953" s="15" t="s">
        <v>108</v>
      </c>
      <c r="F953" s="15" t="s">
        <v>135</v>
      </c>
      <c r="G953" s="15" t="s">
        <v>52</v>
      </c>
      <c r="H953" s="15" t="s">
        <v>43</v>
      </c>
      <c r="I953" s="15" t="s">
        <v>44</v>
      </c>
      <c r="J953" s="15" t="s">
        <v>45</v>
      </c>
      <c r="K953" s="17" t="n">
        <v>197.75</v>
      </c>
      <c r="L953" s="15" t="n">
        <v>71</v>
      </c>
      <c r="M953" s="18" t="n">
        <v>0.05</v>
      </c>
      <c r="N953" s="17" t="n">
        <v>66.24</v>
      </c>
      <c r="O953" s="17" t="n">
        <f aca="false">K953*L953*(1-M953)</f>
        <v>13338.2375</v>
      </c>
      <c r="P953" s="17" t="n">
        <f aca="false">N953*L953</f>
        <v>4703.04</v>
      </c>
      <c r="Q953" s="17" t="n">
        <f aca="false">O953-P953</f>
        <v>8635.1975</v>
      </c>
      <c r="R953" s="15" t="s">
        <v>71</v>
      </c>
      <c r="S953" s="15" t="s">
        <v>72</v>
      </c>
    </row>
    <row r="954" customFormat="false" ht="15" hidden="false" customHeight="true" outlineLevel="0" collapsed="false">
      <c r="A954" s="11" t="s">
        <v>1090</v>
      </c>
      <c r="B954" s="12" t="n">
        <v>45939</v>
      </c>
      <c r="C954" s="11" t="s">
        <v>65</v>
      </c>
      <c r="D954" s="11" t="s">
        <v>149</v>
      </c>
      <c r="E954" s="11" t="s">
        <v>150</v>
      </c>
      <c r="F954" s="11" t="s">
        <v>177</v>
      </c>
      <c r="G954" s="11" t="s">
        <v>52</v>
      </c>
      <c r="H954" s="11" t="s">
        <v>53</v>
      </c>
      <c r="I954" s="11" t="s">
        <v>54</v>
      </c>
      <c r="J954" s="11" t="s">
        <v>113</v>
      </c>
      <c r="K954" s="13" t="n">
        <v>17.97</v>
      </c>
      <c r="L954" s="11" t="n">
        <v>37</v>
      </c>
      <c r="M954" s="14" t="n">
        <v>0</v>
      </c>
      <c r="N954" s="13" t="n">
        <v>11.23</v>
      </c>
      <c r="O954" s="13" t="n">
        <f aca="false">K954*L954*(1-M954)</f>
        <v>664.89</v>
      </c>
      <c r="P954" s="13" t="n">
        <f aca="false">N954*L954</f>
        <v>415.51</v>
      </c>
      <c r="Q954" s="13" t="n">
        <f aca="false">O954-P954</f>
        <v>249.38</v>
      </c>
      <c r="R954" s="11" t="s">
        <v>114</v>
      </c>
      <c r="S954" s="11" t="s">
        <v>47</v>
      </c>
    </row>
    <row r="955" customFormat="false" ht="15" hidden="false" customHeight="true" outlineLevel="0" collapsed="false">
      <c r="A955" s="15" t="s">
        <v>1091</v>
      </c>
      <c r="B955" s="16" t="n">
        <v>45939</v>
      </c>
      <c r="C955" s="15" t="s">
        <v>49</v>
      </c>
      <c r="D955" s="15" t="s">
        <v>50</v>
      </c>
      <c r="E955" s="15" t="s">
        <v>50</v>
      </c>
      <c r="F955" s="15" t="s">
        <v>68</v>
      </c>
      <c r="G955" s="15" t="s">
        <v>52</v>
      </c>
      <c r="H955" s="15" t="s">
        <v>78</v>
      </c>
      <c r="I955" s="15" t="s">
        <v>143</v>
      </c>
      <c r="J955" s="15" t="s">
        <v>158</v>
      </c>
      <c r="K955" s="17" t="n">
        <v>907.4</v>
      </c>
      <c r="L955" s="15" t="n">
        <v>5</v>
      </c>
      <c r="M955" s="18" t="n">
        <v>0</v>
      </c>
      <c r="N955" s="17" t="n">
        <v>768.32</v>
      </c>
      <c r="O955" s="17" t="n">
        <f aca="false">K955*L955*(1-M955)</f>
        <v>4537</v>
      </c>
      <c r="P955" s="17" t="n">
        <f aca="false">N955*L955</f>
        <v>3841.6</v>
      </c>
      <c r="Q955" s="17" t="n">
        <f aca="false">O955-P955</f>
        <v>695.4</v>
      </c>
      <c r="R955" s="15" t="s">
        <v>46</v>
      </c>
      <c r="S955" s="15" t="s">
        <v>47</v>
      </c>
    </row>
    <row r="956" customFormat="false" ht="15" hidden="false" customHeight="true" outlineLevel="0" collapsed="false">
      <c r="A956" s="11" t="s">
        <v>1092</v>
      </c>
      <c r="B956" s="12" t="n">
        <v>45940</v>
      </c>
      <c r="C956" s="11" t="s">
        <v>49</v>
      </c>
      <c r="D956" s="11" t="s">
        <v>97</v>
      </c>
      <c r="E956" s="11" t="s">
        <v>112</v>
      </c>
      <c r="F956" s="11" t="s">
        <v>41</v>
      </c>
      <c r="G956" s="11" t="s">
        <v>130</v>
      </c>
      <c r="H956" s="11" t="s">
        <v>78</v>
      </c>
      <c r="I956" s="11" t="s">
        <v>79</v>
      </c>
      <c r="J956" s="11" t="s">
        <v>80</v>
      </c>
      <c r="K956" s="13" t="n">
        <v>3301.85</v>
      </c>
      <c r="L956" s="11" t="n">
        <v>7</v>
      </c>
      <c r="M956" s="14" t="n">
        <v>0</v>
      </c>
      <c r="N956" s="13" t="n">
        <v>2781.79</v>
      </c>
      <c r="O956" s="13" t="n">
        <f aca="false">K956*L956*(1-M956)</f>
        <v>23112.95</v>
      </c>
      <c r="P956" s="13" t="n">
        <f aca="false">N956*L956</f>
        <v>19472.53</v>
      </c>
      <c r="Q956" s="13" t="n">
        <f aca="false">O956-P956</f>
        <v>3640.42</v>
      </c>
      <c r="R956" s="11" t="s">
        <v>63</v>
      </c>
      <c r="S956" s="11" t="s">
        <v>47</v>
      </c>
    </row>
    <row r="957" customFormat="false" ht="15" hidden="false" customHeight="true" outlineLevel="0" collapsed="false">
      <c r="A957" s="15" t="s">
        <v>1093</v>
      </c>
      <c r="B957" s="16" t="n">
        <v>45940</v>
      </c>
      <c r="C957" s="15" t="s">
        <v>49</v>
      </c>
      <c r="D957" s="15" t="s">
        <v>50</v>
      </c>
      <c r="E957" s="15" t="s">
        <v>50</v>
      </c>
      <c r="F957" s="15" t="s">
        <v>177</v>
      </c>
      <c r="G957" s="15" t="s">
        <v>42</v>
      </c>
      <c r="H957" s="15" t="s">
        <v>43</v>
      </c>
      <c r="I957" s="15" t="s">
        <v>61</v>
      </c>
      <c r="J957" s="15" t="s">
        <v>62</v>
      </c>
      <c r="K957" s="17" t="n">
        <v>334.43</v>
      </c>
      <c r="L957" s="15" t="n">
        <v>29</v>
      </c>
      <c r="M957" s="18" t="n">
        <v>0</v>
      </c>
      <c r="N957" s="17" t="n">
        <v>147.06</v>
      </c>
      <c r="O957" s="17" t="n">
        <f aca="false">K957*L957*(1-M957)</f>
        <v>9698.47</v>
      </c>
      <c r="P957" s="17" t="n">
        <f aca="false">N957*L957</f>
        <v>4264.74</v>
      </c>
      <c r="Q957" s="17" t="n">
        <f aca="false">O957-P957</f>
        <v>5433.73</v>
      </c>
      <c r="R957" s="15" t="s">
        <v>63</v>
      </c>
      <c r="S957" s="15" t="s">
        <v>47</v>
      </c>
    </row>
    <row r="958" customFormat="false" ht="15" hidden="false" customHeight="true" outlineLevel="0" collapsed="false">
      <c r="A958" s="11" t="s">
        <v>1094</v>
      </c>
      <c r="B958" s="12" t="n">
        <v>45940</v>
      </c>
      <c r="C958" s="11" t="s">
        <v>49</v>
      </c>
      <c r="D958" s="11" t="s">
        <v>152</v>
      </c>
      <c r="E958" s="11" t="s">
        <v>152</v>
      </c>
      <c r="F958" s="11" t="s">
        <v>123</v>
      </c>
      <c r="G958" s="11" t="s">
        <v>52</v>
      </c>
      <c r="H958" s="11" t="s">
        <v>53</v>
      </c>
      <c r="I958" s="11" t="s">
        <v>94</v>
      </c>
      <c r="J958" s="11" t="s">
        <v>131</v>
      </c>
      <c r="K958" s="13" t="n">
        <v>39.73</v>
      </c>
      <c r="L958" s="11" t="n">
        <v>23</v>
      </c>
      <c r="M958" s="14" t="n">
        <v>0</v>
      </c>
      <c r="N958" s="13" t="n">
        <v>22.28</v>
      </c>
      <c r="O958" s="13" t="n">
        <f aca="false">K958*L958*(1-M958)</f>
        <v>913.79</v>
      </c>
      <c r="P958" s="13" t="n">
        <f aca="false">N958*L958</f>
        <v>512.44</v>
      </c>
      <c r="Q958" s="13" t="n">
        <f aca="false">O958-P958</f>
        <v>401.35</v>
      </c>
      <c r="R958" s="11" t="s">
        <v>46</v>
      </c>
      <c r="S958" s="11" t="s">
        <v>47</v>
      </c>
    </row>
    <row r="959" customFormat="false" ht="15" hidden="false" customHeight="true" outlineLevel="0" collapsed="false">
      <c r="A959" s="15" t="s">
        <v>1095</v>
      </c>
      <c r="B959" s="16" t="n">
        <v>45940</v>
      </c>
      <c r="C959" s="15" t="s">
        <v>65</v>
      </c>
      <c r="D959" s="15" t="s">
        <v>116</v>
      </c>
      <c r="E959" s="15" t="s">
        <v>117</v>
      </c>
      <c r="F959" s="15" t="s">
        <v>68</v>
      </c>
      <c r="G959" s="15" t="s">
        <v>52</v>
      </c>
      <c r="H959" s="15" t="s">
        <v>78</v>
      </c>
      <c r="I959" s="15" t="s">
        <v>120</v>
      </c>
      <c r="J959" s="15" t="s">
        <v>121</v>
      </c>
      <c r="K959" s="17" t="n">
        <v>320.74</v>
      </c>
      <c r="L959" s="15" t="n">
        <v>65</v>
      </c>
      <c r="M959" s="18" t="n">
        <v>0</v>
      </c>
      <c r="N959" s="17" t="n">
        <v>261.59</v>
      </c>
      <c r="O959" s="17" t="n">
        <f aca="false">K959*L959*(1-M959)</f>
        <v>20848.1</v>
      </c>
      <c r="P959" s="17" t="n">
        <f aca="false">N959*L959</f>
        <v>17003.35</v>
      </c>
      <c r="Q959" s="17" t="n">
        <f aca="false">O959-P959</f>
        <v>3844.75</v>
      </c>
      <c r="R959" s="15" t="s">
        <v>114</v>
      </c>
      <c r="S959" s="15" t="s">
        <v>187</v>
      </c>
    </row>
    <row r="960" customFormat="false" ht="15" hidden="false" customHeight="true" outlineLevel="0" collapsed="false">
      <c r="A960" s="11" t="s">
        <v>1096</v>
      </c>
      <c r="B960" s="12" t="n">
        <v>45941</v>
      </c>
      <c r="C960" s="11" t="s">
        <v>65</v>
      </c>
      <c r="D960" s="11" t="s">
        <v>116</v>
      </c>
      <c r="E960" s="11" t="s">
        <v>117</v>
      </c>
      <c r="F960" s="11" t="s">
        <v>51</v>
      </c>
      <c r="G960" s="11" t="s">
        <v>42</v>
      </c>
      <c r="H960" s="11" t="s">
        <v>78</v>
      </c>
      <c r="I960" s="11" t="s">
        <v>79</v>
      </c>
      <c r="J960" s="11" t="s">
        <v>242</v>
      </c>
      <c r="K960" s="13" t="n">
        <v>4428.96</v>
      </c>
      <c r="L960" s="11" t="n">
        <v>11</v>
      </c>
      <c r="M960" s="14" t="n">
        <v>0</v>
      </c>
      <c r="N960" s="13" t="n">
        <v>3695.18</v>
      </c>
      <c r="O960" s="13" t="n">
        <f aca="false">K960*L960*(1-M960)</f>
        <v>48718.56</v>
      </c>
      <c r="P960" s="13" t="n">
        <f aca="false">N960*L960</f>
        <v>40646.98</v>
      </c>
      <c r="Q960" s="13" t="n">
        <f aca="false">O960-P960</f>
        <v>8071.58</v>
      </c>
      <c r="R960" s="11" t="s">
        <v>63</v>
      </c>
      <c r="S960" s="11" t="s">
        <v>47</v>
      </c>
    </row>
    <row r="961" customFormat="false" ht="15" hidden="false" customHeight="true" outlineLevel="0" collapsed="false">
      <c r="A961" s="15" t="s">
        <v>1097</v>
      </c>
      <c r="B961" s="16" t="n">
        <v>45941</v>
      </c>
      <c r="C961" s="15" t="s">
        <v>38</v>
      </c>
      <c r="D961" s="15" t="s">
        <v>88</v>
      </c>
      <c r="E961" s="15" t="s">
        <v>89</v>
      </c>
      <c r="F961" s="15" t="s">
        <v>123</v>
      </c>
      <c r="G961" s="15" t="s">
        <v>130</v>
      </c>
      <c r="H961" s="15" t="s">
        <v>78</v>
      </c>
      <c r="I961" s="15" t="s">
        <v>143</v>
      </c>
      <c r="J961" s="15" t="s">
        <v>158</v>
      </c>
      <c r="K961" s="17" t="n">
        <v>633.79</v>
      </c>
      <c r="L961" s="15" t="n">
        <v>19</v>
      </c>
      <c r="M961" s="18" t="n">
        <v>0.05</v>
      </c>
      <c r="N961" s="17" t="n">
        <v>521.59</v>
      </c>
      <c r="O961" s="17" t="n">
        <f aca="false">K961*L961*(1-M961)</f>
        <v>11439.9095</v>
      </c>
      <c r="P961" s="17" t="n">
        <f aca="false">N961*L961</f>
        <v>9910.21</v>
      </c>
      <c r="Q961" s="17" t="n">
        <f aca="false">O961-P961</f>
        <v>1529.6995</v>
      </c>
      <c r="R961" s="15" t="s">
        <v>71</v>
      </c>
      <c r="S961" s="15" t="s">
        <v>47</v>
      </c>
    </row>
    <row r="962" customFormat="false" ht="15" hidden="false" customHeight="true" outlineLevel="0" collapsed="false">
      <c r="A962" s="11" t="s">
        <v>1098</v>
      </c>
      <c r="B962" s="12" t="n">
        <v>45941</v>
      </c>
      <c r="C962" s="11" t="s">
        <v>38</v>
      </c>
      <c r="D962" s="11" t="s">
        <v>39</v>
      </c>
      <c r="E962" s="11" t="s">
        <v>40</v>
      </c>
      <c r="F962" s="11" t="s">
        <v>109</v>
      </c>
      <c r="G962" s="11" t="s">
        <v>42</v>
      </c>
      <c r="H962" s="11" t="s">
        <v>53</v>
      </c>
      <c r="I962" s="11" t="s">
        <v>94</v>
      </c>
      <c r="J962" s="11" t="s">
        <v>131</v>
      </c>
      <c r="K962" s="13" t="n">
        <v>28.2</v>
      </c>
      <c r="L962" s="11" t="n">
        <v>78</v>
      </c>
      <c r="M962" s="14" t="n">
        <v>0</v>
      </c>
      <c r="N962" s="13" t="n">
        <v>19.71</v>
      </c>
      <c r="O962" s="13" t="n">
        <f aca="false">K962*L962*(1-M962)</f>
        <v>2199.6</v>
      </c>
      <c r="P962" s="13" t="n">
        <f aca="false">N962*L962</f>
        <v>1537.38</v>
      </c>
      <c r="Q962" s="13" t="n">
        <f aca="false">O962-P962</f>
        <v>662.22</v>
      </c>
      <c r="R962" s="11" t="s">
        <v>63</v>
      </c>
      <c r="S962" s="11" t="s">
        <v>47</v>
      </c>
    </row>
    <row r="963" customFormat="false" ht="15" hidden="false" customHeight="true" outlineLevel="0" collapsed="false">
      <c r="A963" s="15" t="s">
        <v>1099</v>
      </c>
      <c r="B963" s="16" t="n">
        <v>45942</v>
      </c>
      <c r="C963" s="15" t="s">
        <v>49</v>
      </c>
      <c r="D963" s="15" t="s">
        <v>97</v>
      </c>
      <c r="E963" s="15" t="s">
        <v>98</v>
      </c>
      <c r="F963" s="15" t="s">
        <v>109</v>
      </c>
      <c r="G963" s="15" t="s">
        <v>52</v>
      </c>
      <c r="H963" s="15" t="s">
        <v>43</v>
      </c>
      <c r="I963" s="15" t="s">
        <v>61</v>
      </c>
      <c r="J963" s="15" t="s">
        <v>62</v>
      </c>
      <c r="K963" s="17" t="n">
        <v>396.44</v>
      </c>
      <c r="L963" s="15" t="n">
        <v>17</v>
      </c>
      <c r="M963" s="18" t="n">
        <v>0</v>
      </c>
      <c r="N963" s="17" t="n">
        <v>122.34</v>
      </c>
      <c r="O963" s="17" t="n">
        <f aca="false">K963*L963*(1-M963)</f>
        <v>6739.48</v>
      </c>
      <c r="P963" s="17" t="n">
        <f aca="false">N963*L963</f>
        <v>2079.78</v>
      </c>
      <c r="Q963" s="17" t="n">
        <f aca="false">O963-P963</f>
        <v>4659.7</v>
      </c>
      <c r="R963" s="15" t="s">
        <v>167</v>
      </c>
      <c r="S963" s="15" t="s">
        <v>47</v>
      </c>
    </row>
    <row r="964" customFormat="false" ht="15" hidden="false" customHeight="true" outlineLevel="0" collapsed="false">
      <c r="A964" s="11" t="s">
        <v>1100</v>
      </c>
      <c r="B964" s="12" t="n">
        <v>45942</v>
      </c>
      <c r="C964" s="11" t="s">
        <v>49</v>
      </c>
      <c r="D964" s="11" t="s">
        <v>97</v>
      </c>
      <c r="E964" s="11" t="s">
        <v>108</v>
      </c>
      <c r="F964" s="11" t="s">
        <v>41</v>
      </c>
      <c r="G964" s="11" t="s">
        <v>42</v>
      </c>
      <c r="H964" s="11" t="s">
        <v>84</v>
      </c>
      <c r="I964" s="11" t="s">
        <v>136</v>
      </c>
      <c r="J964" s="11" t="s">
        <v>247</v>
      </c>
      <c r="K964" s="13" t="n">
        <v>483.69</v>
      </c>
      <c r="L964" s="11" t="n">
        <v>29</v>
      </c>
      <c r="M964" s="14" t="n">
        <v>0.15</v>
      </c>
      <c r="N964" s="13" t="n">
        <v>365.56</v>
      </c>
      <c r="O964" s="13" t="n">
        <f aca="false">K964*L964*(1-M964)</f>
        <v>11922.9585</v>
      </c>
      <c r="P964" s="13" t="n">
        <f aca="false">N964*L964</f>
        <v>10601.24</v>
      </c>
      <c r="Q964" s="13" t="n">
        <f aca="false">O964-P964</f>
        <v>1321.7185</v>
      </c>
      <c r="R964" s="11" t="s">
        <v>63</v>
      </c>
      <c r="S964" s="11" t="s">
        <v>187</v>
      </c>
    </row>
    <row r="965" customFormat="false" ht="15" hidden="false" customHeight="true" outlineLevel="0" collapsed="false">
      <c r="A965" s="15" t="s">
        <v>1101</v>
      </c>
      <c r="B965" s="16" t="n">
        <v>45942</v>
      </c>
      <c r="C965" s="15" t="s">
        <v>65</v>
      </c>
      <c r="D965" s="15" t="s">
        <v>82</v>
      </c>
      <c r="E965" s="15" t="s">
        <v>83</v>
      </c>
      <c r="F965" s="15" t="s">
        <v>60</v>
      </c>
      <c r="G965" s="15" t="s">
        <v>126</v>
      </c>
      <c r="H965" s="15" t="s">
        <v>53</v>
      </c>
      <c r="I965" s="15" t="s">
        <v>69</v>
      </c>
      <c r="J965" s="15" t="s">
        <v>70</v>
      </c>
      <c r="K965" s="17" t="n">
        <v>22.8</v>
      </c>
      <c r="L965" s="15" t="n">
        <v>29</v>
      </c>
      <c r="M965" s="18" t="n">
        <v>0.1</v>
      </c>
      <c r="N965" s="17" t="n">
        <v>16.26</v>
      </c>
      <c r="O965" s="17" t="n">
        <f aca="false">K965*L965*(1-M965)</f>
        <v>595.08</v>
      </c>
      <c r="P965" s="17" t="n">
        <f aca="false">N965*L965</f>
        <v>471.54</v>
      </c>
      <c r="Q965" s="17" t="n">
        <f aca="false">O965-P965</f>
        <v>123.54</v>
      </c>
      <c r="R965" s="15" t="s">
        <v>114</v>
      </c>
      <c r="S965" s="15" t="s">
        <v>47</v>
      </c>
    </row>
    <row r="966" customFormat="false" ht="15" hidden="false" customHeight="true" outlineLevel="0" collapsed="false">
      <c r="A966" s="11" t="s">
        <v>1102</v>
      </c>
      <c r="B966" s="12" t="n">
        <v>45943</v>
      </c>
      <c r="C966" s="11" t="s">
        <v>38</v>
      </c>
      <c r="D966" s="11" t="s">
        <v>39</v>
      </c>
      <c r="E966" s="11" t="s">
        <v>40</v>
      </c>
      <c r="F966" s="11" t="s">
        <v>123</v>
      </c>
      <c r="G966" s="11" t="s">
        <v>42</v>
      </c>
      <c r="H966" s="11" t="s">
        <v>78</v>
      </c>
      <c r="I966" s="11" t="s">
        <v>143</v>
      </c>
      <c r="J966" s="11" t="s">
        <v>144</v>
      </c>
      <c r="K966" s="13" t="n">
        <v>1772.95</v>
      </c>
      <c r="L966" s="11" t="n">
        <v>18</v>
      </c>
      <c r="M966" s="14" t="n">
        <v>0.05</v>
      </c>
      <c r="N966" s="13" t="n">
        <v>1383.04</v>
      </c>
      <c r="O966" s="13" t="n">
        <f aca="false">K966*L966*(1-M966)</f>
        <v>30317.445</v>
      </c>
      <c r="P966" s="13" t="n">
        <f aca="false">N966*L966</f>
        <v>24894.72</v>
      </c>
      <c r="Q966" s="13" t="n">
        <f aca="false">O966-P966</f>
        <v>5422.725</v>
      </c>
      <c r="R966" s="11" t="s">
        <v>63</v>
      </c>
      <c r="S966" s="11" t="s">
        <v>72</v>
      </c>
    </row>
    <row r="967" customFormat="false" ht="15" hidden="false" customHeight="true" outlineLevel="0" collapsed="false">
      <c r="A967" s="15" t="s">
        <v>1103</v>
      </c>
      <c r="B967" s="16" t="n">
        <v>45945</v>
      </c>
      <c r="C967" s="15" t="s">
        <v>49</v>
      </c>
      <c r="D967" s="15" t="s">
        <v>152</v>
      </c>
      <c r="E967" s="15" t="s">
        <v>152</v>
      </c>
      <c r="F967" s="15" t="s">
        <v>41</v>
      </c>
      <c r="G967" s="15" t="s">
        <v>52</v>
      </c>
      <c r="H967" s="15" t="s">
        <v>78</v>
      </c>
      <c r="I967" s="15" t="s">
        <v>154</v>
      </c>
      <c r="J967" s="15" t="s">
        <v>186</v>
      </c>
      <c r="K967" s="17" t="n">
        <v>981.05</v>
      </c>
      <c r="L967" s="15" t="n">
        <v>13</v>
      </c>
      <c r="M967" s="18" t="n">
        <v>0.2</v>
      </c>
      <c r="N967" s="17" t="n">
        <v>787.25</v>
      </c>
      <c r="O967" s="17" t="n">
        <f aca="false">K967*L967*(1-M967)</f>
        <v>10202.92</v>
      </c>
      <c r="P967" s="17" t="n">
        <f aca="false">N967*L967</f>
        <v>10234.25</v>
      </c>
      <c r="Q967" s="17" t="n">
        <f aca="false">O967-P967</f>
        <v>-31.3299999999999</v>
      </c>
      <c r="R967" s="15" t="s">
        <v>167</v>
      </c>
      <c r="S967" s="15" t="s">
        <v>124</v>
      </c>
    </row>
    <row r="968" customFormat="false" ht="15" hidden="false" customHeight="true" outlineLevel="0" collapsed="false">
      <c r="A968" s="11" t="s">
        <v>1104</v>
      </c>
      <c r="B968" s="12" t="n">
        <v>45946</v>
      </c>
      <c r="C968" s="11" t="s">
        <v>38</v>
      </c>
      <c r="D968" s="11" t="s">
        <v>39</v>
      </c>
      <c r="E968" s="11" t="s">
        <v>40</v>
      </c>
      <c r="F968" s="11" t="s">
        <v>135</v>
      </c>
      <c r="G968" s="11" t="s">
        <v>52</v>
      </c>
      <c r="H968" s="11" t="s">
        <v>78</v>
      </c>
      <c r="I968" s="11" t="s">
        <v>79</v>
      </c>
      <c r="J968" s="11" t="s">
        <v>216</v>
      </c>
      <c r="K968" s="13" t="n">
        <v>4181.38</v>
      </c>
      <c r="L968" s="11" t="n">
        <v>1</v>
      </c>
      <c r="M968" s="14" t="n">
        <v>0</v>
      </c>
      <c r="N968" s="13" t="n">
        <v>3422.93</v>
      </c>
      <c r="O968" s="13" t="n">
        <f aca="false">K968*L968*(1-M968)</f>
        <v>4181.38</v>
      </c>
      <c r="P968" s="13" t="n">
        <f aca="false">N968*L968</f>
        <v>3422.93</v>
      </c>
      <c r="Q968" s="13" t="n">
        <f aca="false">O968-P968</f>
        <v>758.45</v>
      </c>
      <c r="R968" s="11" t="s">
        <v>63</v>
      </c>
      <c r="S968" s="11" t="s">
        <v>47</v>
      </c>
    </row>
    <row r="969" customFormat="false" ht="15" hidden="false" customHeight="true" outlineLevel="0" collapsed="false">
      <c r="A969" s="15" t="s">
        <v>1105</v>
      </c>
      <c r="B969" s="16" t="n">
        <v>45946</v>
      </c>
      <c r="C969" s="15" t="s">
        <v>49</v>
      </c>
      <c r="D969" s="15" t="s">
        <v>50</v>
      </c>
      <c r="E969" s="15" t="s">
        <v>50</v>
      </c>
      <c r="F969" s="15" t="s">
        <v>60</v>
      </c>
      <c r="G969" s="15" t="s">
        <v>77</v>
      </c>
      <c r="H969" s="15" t="s">
        <v>84</v>
      </c>
      <c r="I969" s="15" t="s">
        <v>136</v>
      </c>
      <c r="J969" s="15" t="s">
        <v>247</v>
      </c>
      <c r="K969" s="17" t="n">
        <v>555.78</v>
      </c>
      <c r="L969" s="15" t="n">
        <v>13</v>
      </c>
      <c r="M969" s="18" t="n">
        <v>0</v>
      </c>
      <c r="N969" s="17" t="n">
        <v>427.43</v>
      </c>
      <c r="O969" s="17" t="n">
        <f aca="false">K969*L969*(1-M969)</f>
        <v>7225.14</v>
      </c>
      <c r="P969" s="17" t="n">
        <f aca="false">N969*L969</f>
        <v>5556.59</v>
      </c>
      <c r="Q969" s="17" t="n">
        <f aca="false">O969-P969</f>
        <v>1668.55</v>
      </c>
      <c r="R969" s="15" t="s">
        <v>167</v>
      </c>
      <c r="S969" s="15" t="s">
        <v>47</v>
      </c>
    </row>
    <row r="970" customFormat="false" ht="15" hidden="false" customHeight="true" outlineLevel="0" collapsed="false">
      <c r="A970" s="11" t="s">
        <v>1106</v>
      </c>
      <c r="B970" s="12" t="n">
        <v>45946</v>
      </c>
      <c r="C970" s="11" t="s">
        <v>49</v>
      </c>
      <c r="D970" s="11" t="s">
        <v>50</v>
      </c>
      <c r="E970" s="11" t="s">
        <v>50</v>
      </c>
      <c r="F970" s="11" t="s">
        <v>41</v>
      </c>
      <c r="G970" s="11" t="s">
        <v>52</v>
      </c>
      <c r="H970" s="11" t="s">
        <v>53</v>
      </c>
      <c r="I970" s="11" t="s">
        <v>94</v>
      </c>
      <c r="J970" s="11" t="s">
        <v>131</v>
      </c>
      <c r="K970" s="13" t="n">
        <v>49.66</v>
      </c>
      <c r="L970" s="11" t="n">
        <v>80</v>
      </c>
      <c r="M970" s="14" t="n">
        <v>0</v>
      </c>
      <c r="N970" s="13" t="n">
        <v>34.74</v>
      </c>
      <c r="O970" s="13" t="n">
        <f aca="false">K970*L970*(1-M970)</f>
        <v>3972.8</v>
      </c>
      <c r="P970" s="13" t="n">
        <f aca="false">N970*L970</f>
        <v>2779.2</v>
      </c>
      <c r="Q970" s="13" t="n">
        <f aca="false">O970-P970</f>
        <v>1193.6</v>
      </c>
      <c r="R970" s="11" t="s">
        <v>46</v>
      </c>
      <c r="S970" s="11" t="s">
        <v>72</v>
      </c>
    </row>
    <row r="971" customFormat="false" ht="15" hidden="false" customHeight="true" outlineLevel="0" collapsed="false">
      <c r="A971" s="15" t="s">
        <v>1107</v>
      </c>
      <c r="B971" s="16" t="n">
        <v>45947</v>
      </c>
      <c r="C971" s="15" t="s">
        <v>49</v>
      </c>
      <c r="D971" s="15" t="s">
        <v>97</v>
      </c>
      <c r="E971" s="15" t="s">
        <v>98</v>
      </c>
      <c r="F971" s="15" t="s">
        <v>99</v>
      </c>
      <c r="G971" s="15" t="s">
        <v>52</v>
      </c>
      <c r="H971" s="15" t="s">
        <v>78</v>
      </c>
      <c r="I971" s="15" t="s">
        <v>154</v>
      </c>
      <c r="J971" s="15" t="s">
        <v>155</v>
      </c>
      <c r="K971" s="17" t="n">
        <v>548.52</v>
      </c>
      <c r="L971" s="15" t="n">
        <v>7</v>
      </c>
      <c r="M971" s="18" t="n">
        <v>0.15</v>
      </c>
      <c r="N971" s="17" t="n">
        <v>452.73</v>
      </c>
      <c r="O971" s="17" t="n">
        <f aca="false">K971*L971*(1-M971)</f>
        <v>3263.694</v>
      </c>
      <c r="P971" s="17" t="n">
        <f aca="false">N971*L971</f>
        <v>3169.11</v>
      </c>
      <c r="Q971" s="17" t="n">
        <f aca="false">O971-P971</f>
        <v>94.5839999999998</v>
      </c>
      <c r="R971" s="15" t="s">
        <v>114</v>
      </c>
      <c r="S971" s="15" t="s">
        <v>47</v>
      </c>
    </row>
    <row r="972" customFormat="false" ht="15" hidden="false" customHeight="true" outlineLevel="0" collapsed="false">
      <c r="A972" s="11" t="s">
        <v>1108</v>
      </c>
      <c r="B972" s="12" t="n">
        <v>45948</v>
      </c>
      <c r="C972" s="11" t="s">
        <v>49</v>
      </c>
      <c r="D972" s="11" t="s">
        <v>97</v>
      </c>
      <c r="E972" s="11" t="s">
        <v>112</v>
      </c>
      <c r="F972" s="11" t="s">
        <v>60</v>
      </c>
      <c r="G972" s="11" t="s">
        <v>52</v>
      </c>
      <c r="H972" s="11" t="s">
        <v>84</v>
      </c>
      <c r="I972" s="11" t="s">
        <v>85</v>
      </c>
      <c r="J972" s="11" t="s">
        <v>86</v>
      </c>
      <c r="K972" s="13" t="n">
        <v>629.32</v>
      </c>
      <c r="L972" s="11" t="n">
        <v>6</v>
      </c>
      <c r="M972" s="14" t="n">
        <v>0.05</v>
      </c>
      <c r="N972" s="13" t="n">
        <v>447.22</v>
      </c>
      <c r="O972" s="13" t="n">
        <f aca="false">K972*L972*(1-M972)</f>
        <v>3587.124</v>
      </c>
      <c r="P972" s="13" t="n">
        <f aca="false">N972*L972</f>
        <v>2683.32</v>
      </c>
      <c r="Q972" s="13" t="n">
        <f aca="false">O972-P972</f>
        <v>903.804</v>
      </c>
      <c r="R972" s="11" t="s">
        <v>63</v>
      </c>
      <c r="S972" s="11" t="s">
        <v>72</v>
      </c>
    </row>
    <row r="973" customFormat="false" ht="15" hidden="false" customHeight="true" outlineLevel="0" collapsed="false">
      <c r="A973" s="15" t="s">
        <v>1109</v>
      </c>
      <c r="B973" s="16" t="n">
        <v>45950</v>
      </c>
      <c r="C973" s="15" t="s">
        <v>57</v>
      </c>
      <c r="D973" s="15" t="s">
        <v>162</v>
      </c>
      <c r="E973" s="15" t="s">
        <v>163</v>
      </c>
      <c r="F973" s="15" t="s">
        <v>60</v>
      </c>
      <c r="G973" s="15" t="s">
        <v>42</v>
      </c>
      <c r="H973" s="15" t="s">
        <v>53</v>
      </c>
      <c r="I973" s="15" t="s">
        <v>69</v>
      </c>
      <c r="J973" s="15" t="s">
        <v>70</v>
      </c>
      <c r="K973" s="17" t="n">
        <v>27.36</v>
      </c>
      <c r="L973" s="15" t="n">
        <v>38</v>
      </c>
      <c r="M973" s="18" t="n">
        <v>0.2</v>
      </c>
      <c r="N973" s="17" t="n">
        <v>19.41</v>
      </c>
      <c r="O973" s="17" t="n">
        <f aca="false">K973*L973*(1-M973)</f>
        <v>831.744</v>
      </c>
      <c r="P973" s="17" t="n">
        <f aca="false">N973*L973</f>
        <v>737.58</v>
      </c>
      <c r="Q973" s="17" t="n">
        <f aca="false">O973-P973</f>
        <v>94.1640000000001</v>
      </c>
      <c r="R973" s="15" t="s">
        <v>46</v>
      </c>
      <c r="S973" s="15" t="s">
        <v>47</v>
      </c>
    </row>
    <row r="974" customFormat="false" ht="15" hidden="false" customHeight="true" outlineLevel="0" collapsed="false">
      <c r="A974" s="11" t="s">
        <v>1110</v>
      </c>
      <c r="B974" s="12" t="n">
        <v>45950</v>
      </c>
      <c r="C974" s="11" t="s">
        <v>38</v>
      </c>
      <c r="D974" s="11" t="s">
        <v>39</v>
      </c>
      <c r="E974" s="11" t="s">
        <v>40</v>
      </c>
      <c r="F974" s="11" t="s">
        <v>109</v>
      </c>
      <c r="G974" s="11" t="s">
        <v>77</v>
      </c>
      <c r="H974" s="11" t="s">
        <v>84</v>
      </c>
      <c r="I974" s="11" t="s">
        <v>136</v>
      </c>
      <c r="J974" s="11" t="s">
        <v>137</v>
      </c>
      <c r="K974" s="13" t="n">
        <v>192.45</v>
      </c>
      <c r="L974" s="11" t="n">
        <v>19</v>
      </c>
      <c r="M974" s="14" t="n">
        <v>0.15</v>
      </c>
      <c r="N974" s="13" t="n">
        <v>147.49</v>
      </c>
      <c r="O974" s="13" t="n">
        <f aca="false">K974*L974*(1-M974)</f>
        <v>3108.0675</v>
      </c>
      <c r="P974" s="13" t="n">
        <f aca="false">N974*L974</f>
        <v>2802.31</v>
      </c>
      <c r="Q974" s="13" t="n">
        <f aca="false">O974-P974</f>
        <v>305.757499999999</v>
      </c>
      <c r="R974" s="11" t="s">
        <v>167</v>
      </c>
      <c r="S974" s="11" t="s">
        <v>47</v>
      </c>
    </row>
    <row r="975" customFormat="false" ht="15" hidden="false" customHeight="true" outlineLevel="0" collapsed="false">
      <c r="A975" s="15" t="s">
        <v>1111</v>
      </c>
      <c r="B975" s="16" t="n">
        <v>45951</v>
      </c>
      <c r="C975" s="15" t="s">
        <v>74</v>
      </c>
      <c r="D975" s="15" t="s">
        <v>75</v>
      </c>
      <c r="E975" s="15" t="s">
        <v>76</v>
      </c>
      <c r="F975" s="15" t="s">
        <v>41</v>
      </c>
      <c r="G975" s="15" t="s">
        <v>42</v>
      </c>
      <c r="H975" s="15" t="s">
        <v>78</v>
      </c>
      <c r="I975" s="15" t="s">
        <v>143</v>
      </c>
      <c r="J975" s="15" t="s">
        <v>158</v>
      </c>
      <c r="K975" s="17" t="n">
        <v>901.24</v>
      </c>
      <c r="L975" s="15" t="n">
        <v>12</v>
      </c>
      <c r="M975" s="18" t="n">
        <v>0.1</v>
      </c>
      <c r="N975" s="17" t="n">
        <v>725.51</v>
      </c>
      <c r="O975" s="17" t="n">
        <f aca="false">K975*L975*(1-M975)</f>
        <v>9733.392</v>
      </c>
      <c r="P975" s="17" t="n">
        <f aca="false">N975*L975</f>
        <v>8706.12</v>
      </c>
      <c r="Q975" s="17" t="n">
        <f aca="false">O975-P975</f>
        <v>1027.272</v>
      </c>
      <c r="R975" s="15" t="s">
        <v>114</v>
      </c>
      <c r="S975" s="15" t="s">
        <v>47</v>
      </c>
    </row>
    <row r="976" customFormat="false" ht="15" hidden="false" customHeight="true" outlineLevel="0" collapsed="false">
      <c r="A976" s="11" t="s">
        <v>1112</v>
      </c>
      <c r="B976" s="12" t="n">
        <v>45951</v>
      </c>
      <c r="C976" s="11" t="s">
        <v>57</v>
      </c>
      <c r="D976" s="11" t="s">
        <v>58</v>
      </c>
      <c r="E976" s="11" t="s">
        <v>59</v>
      </c>
      <c r="F976" s="11" t="s">
        <v>177</v>
      </c>
      <c r="G976" s="11" t="s">
        <v>42</v>
      </c>
      <c r="H976" s="11" t="s">
        <v>43</v>
      </c>
      <c r="I976" s="11" t="s">
        <v>61</v>
      </c>
      <c r="J976" s="11" t="s">
        <v>147</v>
      </c>
      <c r="K976" s="13" t="n">
        <v>388.99</v>
      </c>
      <c r="L976" s="11" t="n">
        <v>31</v>
      </c>
      <c r="M976" s="14" t="n">
        <v>0</v>
      </c>
      <c r="N976" s="13" t="n">
        <v>172.53</v>
      </c>
      <c r="O976" s="13" t="n">
        <f aca="false">K976*L976*(1-M976)</f>
        <v>12058.69</v>
      </c>
      <c r="P976" s="13" t="n">
        <f aca="false">N976*L976</f>
        <v>5348.43</v>
      </c>
      <c r="Q976" s="13" t="n">
        <f aca="false">O976-P976</f>
        <v>6710.26</v>
      </c>
      <c r="R976" s="11" t="s">
        <v>46</v>
      </c>
      <c r="S976" s="11" t="s">
        <v>187</v>
      </c>
    </row>
    <row r="977" customFormat="false" ht="15" hidden="false" customHeight="true" outlineLevel="0" collapsed="false">
      <c r="A977" s="15" t="s">
        <v>1113</v>
      </c>
      <c r="B977" s="16" t="n">
        <v>45951</v>
      </c>
      <c r="C977" s="15" t="s">
        <v>74</v>
      </c>
      <c r="D977" s="15" t="s">
        <v>75</v>
      </c>
      <c r="E977" s="15" t="s">
        <v>76</v>
      </c>
      <c r="F977" s="15" t="s">
        <v>135</v>
      </c>
      <c r="G977" s="15" t="s">
        <v>42</v>
      </c>
      <c r="H977" s="15" t="s">
        <v>53</v>
      </c>
      <c r="I977" s="15" t="s">
        <v>69</v>
      </c>
      <c r="J977" s="15" t="s">
        <v>128</v>
      </c>
      <c r="K977" s="17" t="n">
        <v>15.2</v>
      </c>
      <c r="L977" s="15" t="n">
        <v>72</v>
      </c>
      <c r="M977" s="18" t="n">
        <v>0</v>
      </c>
      <c r="N977" s="17" t="n">
        <v>9.54</v>
      </c>
      <c r="O977" s="17" t="n">
        <f aca="false">K977*L977*(1-M977)</f>
        <v>1094.4</v>
      </c>
      <c r="P977" s="17" t="n">
        <f aca="false">N977*L977</f>
        <v>686.88</v>
      </c>
      <c r="Q977" s="17" t="n">
        <f aca="false">O977-P977</f>
        <v>407.52</v>
      </c>
      <c r="R977" s="15" t="s">
        <v>114</v>
      </c>
      <c r="S977" s="15" t="s">
        <v>47</v>
      </c>
    </row>
    <row r="978" customFormat="false" ht="15" hidden="false" customHeight="true" outlineLevel="0" collapsed="false">
      <c r="A978" s="11" t="s">
        <v>1114</v>
      </c>
      <c r="B978" s="12" t="n">
        <v>45952</v>
      </c>
      <c r="C978" s="11" t="s">
        <v>49</v>
      </c>
      <c r="D978" s="11" t="s">
        <v>97</v>
      </c>
      <c r="E978" s="11" t="s">
        <v>98</v>
      </c>
      <c r="F978" s="11" t="s">
        <v>109</v>
      </c>
      <c r="G978" s="11" t="s">
        <v>52</v>
      </c>
      <c r="H978" s="11" t="s">
        <v>78</v>
      </c>
      <c r="I978" s="11" t="s">
        <v>143</v>
      </c>
      <c r="J978" s="11" t="s">
        <v>158</v>
      </c>
      <c r="K978" s="13" t="n">
        <v>767.11</v>
      </c>
      <c r="L978" s="11" t="n">
        <v>13</v>
      </c>
      <c r="M978" s="14" t="n">
        <v>0.05</v>
      </c>
      <c r="N978" s="13" t="n">
        <v>640.05</v>
      </c>
      <c r="O978" s="13" t="n">
        <f aca="false">K978*L978*(1-M978)</f>
        <v>9473.8085</v>
      </c>
      <c r="P978" s="13" t="n">
        <f aca="false">N978*L978</f>
        <v>8320.65</v>
      </c>
      <c r="Q978" s="13" t="n">
        <f aca="false">O978-P978</f>
        <v>1153.1585</v>
      </c>
      <c r="R978" s="11" t="s">
        <v>114</v>
      </c>
      <c r="S978" s="11" t="s">
        <v>47</v>
      </c>
    </row>
    <row r="979" customFormat="false" ht="15" hidden="false" customHeight="true" outlineLevel="0" collapsed="false">
      <c r="A979" s="15" t="s">
        <v>1115</v>
      </c>
      <c r="B979" s="16" t="n">
        <v>45952</v>
      </c>
      <c r="C979" s="15" t="s">
        <v>49</v>
      </c>
      <c r="D979" s="15" t="s">
        <v>97</v>
      </c>
      <c r="E979" s="15" t="s">
        <v>108</v>
      </c>
      <c r="F979" s="15" t="s">
        <v>135</v>
      </c>
      <c r="G979" s="15" t="s">
        <v>126</v>
      </c>
      <c r="H979" s="15" t="s">
        <v>53</v>
      </c>
      <c r="I979" s="15" t="s">
        <v>94</v>
      </c>
      <c r="J979" s="15" t="s">
        <v>131</v>
      </c>
      <c r="K979" s="17" t="n">
        <v>41.1</v>
      </c>
      <c r="L979" s="15" t="n">
        <v>88</v>
      </c>
      <c r="M979" s="18" t="n">
        <v>0.05</v>
      </c>
      <c r="N979" s="17" t="n">
        <v>24.62</v>
      </c>
      <c r="O979" s="17" t="n">
        <f aca="false">K979*L979*(1-M979)</f>
        <v>3435.96</v>
      </c>
      <c r="P979" s="17" t="n">
        <f aca="false">N979*L979</f>
        <v>2166.56</v>
      </c>
      <c r="Q979" s="17" t="n">
        <f aca="false">O979-P979</f>
        <v>1269.4</v>
      </c>
      <c r="R979" s="15" t="s">
        <v>63</v>
      </c>
      <c r="S979" s="15" t="s">
        <v>47</v>
      </c>
    </row>
    <row r="980" customFormat="false" ht="15" hidden="false" customHeight="true" outlineLevel="0" collapsed="false">
      <c r="A980" s="11" t="s">
        <v>1116</v>
      </c>
      <c r="B980" s="12" t="n">
        <v>45952</v>
      </c>
      <c r="C980" s="11" t="s">
        <v>49</v>
      </c>
      <c r="D980" s="11" t="s">
        <v>97</v>
      </c>
      <c r="E980" s="11" t="s">
        <v>98</v>
      </c>
      <c r="F980" s="11" t="s">
        <v>60</v>
      </c>
      <c r="G980" s="11" t="s">
        <v>130</v>
      </c>
      <c r="H980" s="11" t="s">
        <v>78</v>
      </c>
      <c r="I980" s="11" t="s">
        <v>154</v>
      </c>
      <c r="J980" s="11" t="s">
        <v>155</v>
      </c>
      <c r="K980" s="13" t="n">
        <v>691.48</v>
      </c>
      <c r="L980" s="11" t="n">
        <v>9</v>
      </c>
      <c r="M980" s="14" t="n">
        <v>0.05</v>
      </c>
      <c r="N980" s="13" t="n">
        <v>565.69</v>
      </c>
      <c r="O980" s="13" t="n">
        <f aca="false">K980*L980*(1-M980)</f>
        <v>5912.154</v>
      </c>
      <c r="P980" s="13" t="n">
        <f aca="false">N980*L980</f>
        <v>5091.21</v>
      </c>
      <c r="Q980" s="13" t="n">
        <f aca="false">O980-P980</f>
        <v>820.943999999999</v>
      </c>
      <c r="R980" s="11" t="s">
        <v>114</v>
      </c>
      <c r="S980" s="11" t="s">
        <v>47</v>
      </c>
    </row>
    <row r="981" customFormat="false" ht="15" hidden="false" customHeight="true" outlineLevel="0" collapsed="false">
      <c r="A981" s="15" t="s">
        <v>1117</v>
      </c>
      <c r="B981" s="16" t="n">
        <v>45952</v>
      </c>
      <c r="C981" s="15" t="s">
        <v>49</v>
      </c>
      <c r="D981" s="15" t="s">
        <v>50</v>
      </c>
      <c r="E981" s="15" t="s">
        <v>50</v>
      </c>
      <c r="F981" s="15" t="s">
        <v>60</v>
      </c>
      <c r="G981" s="15" t="s">
        <v>52</v>
      </c>
      <c r="H981" s="15" t="s">
        <v>84</v>
      </c>
      <c r="I981" s="15" t="s">
        <v>85</v>
      </c>
      <c r="J981" s="15" t="s">
        <v>86</v>
      </c>
      <c r="K981" s="17" t="n">
        <v>531.95</v>
      </c>
      <c r="L981" s="15" t="n">
        <v>16</v>
      </c>
      <c r="M981" s="18" t="n">
        <v>0.05</v>
      </c>
      <c r="N981" s="17" t="n">
        <v>403.28</v>
      </c>
      <c r="O981" s="17" t="n">
        <f aca="false">K981*L981*(1-M981)</f>
        <v>8085.64</v>
      </c>
      <c r="P981" s="17" t="n">
        <f aca="false">N981*L981</f>
        <v>6452.48</v>
      </c>
      <c r="Q981" s="17" t="n">
        <f aca="false">O981-P981</f>
        <v>1633.16</v>
      </c>
      <c r="R981" s="15" t="s">
        <v>114</v>
      </c>
      <c r="S981" s="15" t="s">
        <v>47</v>
      </c>
    </row>
    <row r="982" customFormat="false" ht="15" hidden="false" customHeight="true" outlineLevel="0" collapsed="false">
      <c r="A982" s="11" t="s">
        <v>1118</v>
      </c>
      <c r="B982" s="12" t="n">
        <v>45952</v>
      </c>
      <c r="C982" s="11" t="s">
        <v>38</v>
      </c>
      <c r="D982" s="11" t="s">
        <v>92</v>
      </c>
      <c r="E982" s="11" t="s">
        <v>93</v>
      </c>
      <c r="F982" s="11" t="s">
        <v>60</v>
      </c>
      <c r="G982" s="11" t="s">
        <v>130</v>
      </c>
      <c r="H982" s="11" t="s">
        <v>78</v>
      </c>
      <c r="I982" s="11" t="s">
        <v>120</v>
      </c>
      <c r="J982" s="11" t="s">
        <v>232</v>
      </c>
      <c r="K982" s="13" t="n">
        <v>210.01</v>
      </c>
      <c r="L982" s="11" t="n">
        <v>61</v>
      </c>
      <c r="M982" s="14" t="n">
        <v>0.05</v>
      </c>
      <c r="N982" s="13" t="n">
        <v>169.65</v>
      </c>
      <c r="O982" s="13" t="n">
        <f aca="false">K982*L982*(1-M982)</f>
        <v>12170.0795</v>
      </c>
      <c r="P982" s="13" t="n">
        <f aca="false">N982*L982</f>
        <v>10348.65</v>
      </c>
      <c r="Q982" s="13" t="n">
        <f aca="false">O982-P982</f>
        <v>1821.4295</v>
      </c>
      <c r="R982" s="11" t="s">
        <v>63</v>
      </c>
      <c r="S982" s="11" t="s">
        <v>72</v>
      </c>
    </row>
    <row r="983" customFormat="false" ht="15" hidden="false" customHeight="true" outlineLevel="0" collapsed="false">
      <c r="A983" s="15" t="s">
        <v>1119</v>
      </c>
      <c r="B983" s="16" t="n">
        <v>45953</v>
      </c>
      <c r="C983" s="15" t="s">
        <v>49</v>
      </c>
      <c r="D983" s="15" t="s">
        <v>152</v>
      </c>
      <c r="E983" s="15" t="s">
        <v>152</v>
      </c>
      <c r="F983" s="15" t="s">
        <v>177</v>
      </c>
      <c r="G983" s="15" t="s">
        <v>42</v>
      </c>
      <c r="H983" s="15" t="s">
        <v>53</v>
      </c>
      <c r="I983" s="15" t="s">
        <v>94</v>
      </c>
      <c r="J983" s="15" t="s">
        <v>131</v>
      </c>
      <c r="K983" s="17" t="n">
        <v>49.22</v>
      </c>
      <c r="L983" s="15" t="n">
        <v>33</v>
      </c>
      <c r="M983" s="18" t="n">
        <v>0</v>
      </c>
      <c r="N983" s="17" t="n">
        <v>29.33</v>
      </c>
      <c r="O983" s="17" t="n">
        <f aca="false">K983*L983*(1-M983)</f>
        <v>1624.26</v>
      </c>
      <c r="P983" s="17" t="n">
        <f aca="false">N983*L983</f>
        <v>967.89</v>
      </c>
      <c r="Q983" s="17" t="n">
        <f aca="false">O983-P983</f>
        <v>656.37</v>
      </c>
      <c r="R983" s="15" t="s">
        <v>63</v>
      </c>
      <c r="S983" s="15" t="s">
        <v>72</v>
      </c>
    </row>
    <row r="984" customFormat="false" ht="15" hidden="false" customHeight="true" outlineLevel="0" collapsed="false">
      <c r="A984" s="11" t="s">
        <v>1120</v>
      </c>
      <c r="B984" s="12" t="n">
        <v>45954</v>
      </c>
      <c r="C984" s="11" t="s">
        <v>49</v>
      </c>
      <c r="D984" s="11" t="s">
        <v>97</v>
      </c>
      <c r="E984" s="11" t="s">
        <v>108</v>
      </c>
      <c r="F984" s="11" t="s">
        <v>123</v>
      </c>
      <c r="G984" s="11" t="s">
        <v>52</v>
      </c>
      <c r="H984" s="11" t="s">
        <v>84</v>
      </c>
      <c r="I984" s="11" t="s">
        <v>100</v>
      </c>
      <c r="J984" s="11" t="s">
        <v>139</v>
      </c>
      <c r="K984" s="13" t="n">
        <v>1125.45</v>
      </c>
      <c r="L984" s="11" t="n">
        <v>13</v>
      </c>
      <c r="M984" s="14" t="n">
        <v>0</v>
      </c>
      <c r="N984" s="13" t="n">
        <v>831.35</v>
      </c>
      <c r="O984" s="13" t="n">
        <f aca="false">K984*L984*(1-M984)</f>
        <v>14630.85</v>
      </c>
      <c r="P984" s="13" t="n">
        <f aca="false">N984*L984</f>
        <v>10807.55</v>
      </c>
      <c r="Q984" s="13" t="n">
        <f aca="false">O984-P984</f>
        <v>3823.3</v>
      </c>
      <c r="R984" s="11" t="s">
        <v>114</v>
      </c>
      <c r="S984" s="11" t="s">
        <v>47</v>
      </c>
    </row>
    <row r="985" customFormat="false" ht="15" hidden="false" customHeight="true" outlineLevel="0" collapsed="false">
      <c r="A985" s="15" t="s">
        <v>1121</v>
      </c>
      <c r="B985" s="16" t="n">
        <v>45955</v>
      </c>
      <c r="C985" s="15" t="s">
        <v>49</v>
      </c>
      <c r="D985" s="15" t="s">
        <v>97</v>
      </c>
      <c r="E985" s="15" t="s">
        <v>98</v>
      </c>
      <c r="F985" s="15" t="s">
        <v>51</v>
      </c>
      <c r="G985" s="15" t="s">
        <v>126</v>
      </c>
      <c r="H985" s="15" t="s">
        <v>43</v>
      </c>
      <c r="I985" s="15" t="s">
        <v>61</v>
      </c>
      <c r="J985" s="15" t="s">
        <v>62</v>
      </c>
      <c r="K985" s="17" t="n">
        <v>420.26</v>
      </c>
      <c r="L985" s="15" t="n">
        <v>15</v>
      </c>
      <c r="M985" s="18" t="n">
        <v>0</v>
      </c>
      <c r="N985" s="17" t="n">
        <v>146.64</v>
      </c>
      <c r="O985" s="17" t="n">
        <f aca="false">K985*L985*(1-M985)</f>
        <v>6303.9</v>
      </c>
      <c r="P985" s="17" t="n">
        <f aca="false">N985*L985</f>
        <v>2199.6</v>
      </c>
      <c r="Q985" s="17" t="n">
        <f aca="false">O985-P985</f>
        <v>4104.3</v>
      </c>
      <c r="R985" s="15" t="s">
        <v>71</v>
      </c>
      <c r="S985" s="15" t="s">
        <v>47</v>
      </c>
    </row>
    <row r="986" customFormat="false" ht="15" hidden="false" customHeight="true" outlineLevel="0" collapsed="false">
      <c r="A986" s="11" t="s">
        <v>1122</v>
      </c>
      <c r="B986" s="12" t="n">
        <v>45956</v>
      </c>
      <c r="C986" s="11" t="s">
        <v>49</v>
      </c>
      <c r="D986" s="11" t="s">
        <v>97</v>
      </c>
      <c r="E986" s="11" t="s">
        <v>98</v>
      </c>
      <c r="F986" s="11" t="s">
        <v>135</v>
      </c>
      <c r="G986" s="11" t="s">
        <v>42</v>
      </c>
      <c r="H986" s="11" t="s">
        <v>78</v>
      </c>
      <c r="I986" s="11" t="s">
        <v>79</v>
      </c>
      <c r="J986" s="11" t="s">
        <v>242</v>
      </c>
      <c r="K986" s="13" t="n">
        <v>3626.84</v>
      </c>
      <c r="L986" s="11" t="n">
        <v>2</v>
      </c>
      <c r="M986" s="14" t="n">
        <v>0</v>
      </c>
      <c r="N986" s="13" t="n">
        <v>2967.1</v>
      </c>
      <c r="O986" s="13" t="n">
        <f aca="false">K986*L986*(1-M986)</f>
        <v>7253.68</v>
      </c>
      <c r="P986" s="13" t="n">
        <f aca="false">N986*L986</f>
        <v>5934.2</v>
      </c>
      <c r="Q986" s="13" t="n">
        <f aca="false">O986-P986</f>
        <v>1319.48</v>
      </c>
      <c r="R986" s="11" t="s">
        <v>114</v>
      </c>
      <c r="S986" s="11" t="s">
        <v>47</v>
      </c>
    </row>
    <row r="987" customFormat="false" ht="15" hidden="false" customHeight="true" outlineLevel="0" collapsed="false">
      <c r="A987" s="15" t="s">
        <v>1123</v>
      </c>
      <c r="B987" s="16" t="n">
        <v>45957</v>
      </c>
      <c r="C987" s="15" t="s">
        <v>49</v>
      </c>
      <c r="D987" s="15" t="s">
        <v>152</v>
      </c>
      <c r="E987" s="15" t="s">
        <v>152</v>
      </c>
      <c r="F987" s="15" t="s">
        <v>118</v>
      </c>
      <c r="G987" s="15" t="s">
        <v>52</v>
      </c>
      <c r="H987" s="15" t="s">
        <v>43</v>
      </c>
      <c r="I987" s="15" t="s">
        <v>44</v>
      </c>
      <c r="J987" s="15" t="s">
        <v>45</v>
      </c>
      <c r="K987" s="17" t="n">
        <v>188.05</v>
      </c>
      <c r="L987" s="15" t="n">
        <v>21</v>
      </c>
      <c r="M987" s="18" t="n">
        <v>0</v>
      </c>
      <c r="N987" s="17" t="n">
        <v>71.42</v>
      </c>
      <c r="O987" s="17" t="n">
        <f aca="false">K987*L987*(1-M987)</f>
        <v>3949.05</v>
      </c>
      <c r="P987" s="17" t="n">
        <f aca="false">N987*L987</f>
        <v>1499.82</v>
      </c>
      <c r="Q987" s="17" t="n">
        <f aca="false">O987-P987</f>
        <v>2449.23</v>
      </c>
      <c r="R987" s="15" t="s">
        <v>46</v>
      </c>
      <c r="S987" s="15" t="s">
        <v>47</v>
      </c>
    </row>
    <row r="988" customFormat="false" ht="15" hidden="false" customHeight="true" outlineLevel="0" collapsed="false">
      <c r="A988" s="11" t="s">
        <v>1124</v>
      </c>
      <c r="B988" s="12" t="n">
        <v>45957</v>
      </c>
      <c r="C988" s="11" t="s">
        <v>49</v>
      </c>
      <c r="D988" s="11" t="s">
        <v>97</v>
      </c>
      <c r="E988" s="11" t="s">
        <v>112</v>
      </c>
      <c r="F988" s="11" t="s">
        <v>60</v>
      </c>
      <c r="G988" s="11" t="s">
        <v>126</v>
      </c>
      <c r="H988" s="11" t="s">
        <v>53</v>
      </c>
      <c r="I988" s="11" t="s">
        <v>94</v>
      </c>
      <c r="J988" s="11" t="s">
        <v>131</v>
      </c>
      <c r="K988" s="13" t="n">
        <v>51.33</v>
      </c>
      <c r="L988" s="11" t="n">
        <v>78</v>
      </c>
      <c r="M988" s="14" t="n">
        <v>0</v>
      </c>
      <c r="N988" s="13" t="n">
        <v>34.72</v>
      </c>
      <c r="O988" s="13" t="n">
        <f aca="false">K988*L988*(1-M988)</f>
        <v>4003.74</v>
      </c>
      <c r="P988" s="13" t="n">
        <f aca="false">N988*L988</f>
        <v>2708.16</v>
      </c>
      <c r="Q988" s="13" t="n">
        <f aca="false">O988-P988</f>
        <v>1295.58</v>
      </c>
      <c r="R988" s="11" t="s">
        <v>46</v>
      </c>
      <c r="S988" s="11" t="s">
        <v>47</v>
      </c>
    </row>
    <row r="989" customFormat="false" ht="15" hidden="false" customHeight="true" outlineLevel="0" collapsed="false">
      <c r="A989" s="15" t="s">
        <v>1125</v>
      </c>
      <c r="B989" s="16" t="n">
        <v>45958</v>
      </c>
      <c r="C989" s="15" t="s">
        <v>65</v>
      </c>
      <c r="D989" s="15" t="s">
        <v>116</v>
      </c>
      <c r="E989" s="15" t="s">
        <v>117</v>
      </c>
      <c r="F989" s="15" t="s">
        <v>135</v>
      </c>
      <c r="G989" s="15" t="s">
        <v>42</v>
      </c>
      <c r="H989" s="15" t="s">
        <v>43</v>
      </c>
      <c r="I989" s="15" t="s">
        <v>61</v>
      </c>
      <c r="J989" s="15" t="s">
        <v>147</v>
      </c>
      <c r="K989" s="17" t="n">
        <v>347.39</v>
      </c>
      <c r="L989" s="15" t="n">
        <v>42</v>
      </c>
      <c r="M989" s="18" t="n">
        <v>0</v>
      </c>
      <c r="N989" s="17" t="n">
        <v>137.87</v>
      </c>
      <c r="O989" s="17" t="n">
        <f aca="false">K989*L989*(1-M989)</f>
        <v>14590.38</v>
      </c>
      <c r="P989" s="17" t="n">
        <f aca="false">N989*L989</f>
        <v>5790.54</v>
      </c>
      <c r="Q989" s="17" t="n">
        <f aca="false">O989-P989</f>
        <v>8799.84</v>
      </c>
      <c r="R989" s="15" t="s">
        <v>71</v>
      </c>
      <c r="S989" s="15" t="s">
        <v>47</v>
      </c>
    </row>
    <row r="990" customFormat="false" ht="15" hidden="false" customHeight="true" outlineLevel="0" collapsed="false">
      <c r="A990" s="11" t="s">
        <v>1126</v>
      </c>
      <c r="B990" s="12" t="n">
        <v>45958</v>
      </c>
      <c r="C990" s="11" t="s">
        <v>49</v>
      </c>
      <c r="D990" s="11" t="s">
        <v>152</v>
      </c>
      <c r="E990" s="11" t="s">
        <v>152</v>
      </c>
      <c r="F990" s="11" t="s">
        <v>51</v>
      </c>
      <c r="G990" s="11" t="s">
        <v>52</v>
      </c>
      <c r="H990" s="11" t="s">
        <v>53</v>
      </c>
      <c r="I990" s="11" t="s">
        <v>54</v>
      </c>
      <c r="J990" s="11" t="s">
        <v>113</v>
      </c>
      <c r="K990" s="13" t="n">
        <v>11.83</v>
      </c>
      <c r="L990" s="11" t="n">
        <v>56</v>
      </c>
      <c r="M990" s="14" t="n">
        <v>0.1</v>
      </c>
      <c r="N990" s="13" t="n">
        <v>8.38</v>
      </c>
      <c r="O990" s="13" t="n">
        <f aca="false">K990*L990*(1-M990)</f>
        <v>596.232</v>
      </c>
      <c r="P990" s="13" t="n">
        <f aca="false">N990*L990</f>
        <v>469.28</v>
      </c>
      <c r="Q990" s="13" t="n">
        <f aca="false">O990-P990</f>
        <v>126.952</v>
      </c>
      <c r="R990" s="11" t="s">
        <v>167</v>
      </c>
      <c r="S990" s="11" t="s">
        <v>47</v>
      </c>
    </row>
    <row r="991" customFormat="false" ht="15" hidden="false" customHeight="true" outlineLevel="0" collapsed="false">
      <c r="A991" s="15" t="s">
        <v>1127</v>
      </c>
      <c r="B991" s="16" t="n">
        <v>45958</v>
      </c>
      <c r="C991" s="15" t="s">
        <v>49</v>
      </c>
      <c r="D991" s="15" t="s">
        <v>152</v>
      </c>
      <c r="E991" s="15" t="s">
        <v>152</v>
      </c>
      <c r="F991" s="15" t="s">
        <v>99</v>
      </c>
      <c r="G991" s="15" t="s">
        <v>130</v>
      </c>
      <c r="H991" s="15" t="s">
        <v>78</v>
      </c>
      <c r="I991" s="15" t="s">
        <v>154</v>
      </c>
      <c r="J991" s="15" t="s">
        <v>186</v>
      </c>
      <c r="K991" s="17" t="n">
        <v>581.33</v>
      </c>
      <c r="L991" s="15" t="n">
        <v>8</v>
      </c>
      <c r="M991" s="18" t="n">
        <v>0</v>
      </c>
      <c r="N991" s="17" t="n">
        <v>453.87</v>
      </c>
      <c r="O991" s="17" t="n">
        <f aca="false">K991*L991*(1-M991)</f>
        <v>4650.64</v>
      </c>
      <c r="P991" s="17" t="n">
        <f aca="false">N991*L991</f>
        <v>3630.96</v>
      </c>
      <c r="Q991" s="17" t="n">
        <f aca="false">O991-P991</f>
        <v>1019.68</v>
      </c>
      <c r="R991" s="15" t="s">
        <v>63</v>
      </c>
      <c r="S991" s="15" t="s">
        <v>47</v>
      </c>
    </row>
    <row r="992" customFormat="false" ht="15" hidden="false" customHeight="true" outlineLevel="0" collapsed="false">
      <c r="A992" s="11" t="s">
        <v>1128</v>
      </c>
      <c r="B992" s="12" t="n">
        <v>45961</v>
      </c>
      <c r="C992" s="11" t="s">
        <v>49</v>
      </c>
      <c r="D992" s="11" t="s">
        <v>97</v>
      </c>
      <c r="E992" s="11" t="s">
        <v>108</v>
      </c>
      <c r="F992" s="11" t="s">
        <v>68</v>
      </c>
      <c r="G992" s="11" t="s">
        <v>42</v>
      </c>
      <c r="H992" s="11" t="s">
        <v>43</v>
      </c>
      <c r="I992" s="11" t="s">
        <v>61</v>
      </c>
      <c r="J992" s="11" t="s">
        <v>62</v>
      </c>
      <c r="K992" s="13" t="n">
        <v>355.14</v>
      </c>
      <c r="L992" s="11" t="n">
        <v>26</v>
      </c>
      <c r="M992" s="14" t="n">
        <v>0</v>
      </c>
      <c r="N992" s="13" t="n">
        <v>138.47</v>
      </c>
      <c r="O992" s="13" t="n">
        <f aca="false">K992*L992*(1-M992)</f>
        <v>9233.64</v>
      </c>
      <c r="P992" s="13" t="n">
        <f aca="false">N992*L992</f>
        <v>3600.22</v>
      </c>
      <c r="Q992" s="13" t="n">
        <f aca="false">O992-P992</f>
        <v>5633.42</v>
      </c>
      <c r="R992" s="11" t="s">
        <v>46</v>
      </c>
      <c r="S992" s="11" t="s">
        <v>47</v>
      </c>
    </row>
    <row r="993" customFormat="false" ht="15" hidden="false" customHeight="true" outlineLevel="0" collapsed="false">
      <c r="A993" s="15" t="s">
        <v>1129</v>
      </c>
      <c r="B993" s="16" t="n">
        <v>45961</v>
      </c>
      <c r="C993" s="15" t="s">
        <v>49</v>
      </c>
      <c r="D993" s="15" t="s">
        <v>152</v>
      </c>
      <c r="E993" s="15" t="s">
        <v>152</v>
      </c>
      <c r="F993" s="15" t="s">
        <v>135</v>
      </c>
      <c r="G993" s="15" t="s">
        <v>52</v>
      </c>
      <c r="H993" s="15" t="s">
        <v>84</v>
      </c>
      <c r="I993" s="15" t="s">
        <v>85</v>
      </c>
      <c r="J993" s="15" t="s">
        <v>86</v>
      </c>
      <c r="K993" s="17" t="n">
        <v>276.7</v>
      </c>
      <c r="L993" s="15" t="n">
        <v>7</v>
      </c>
      <c r="M993" s="18" t="n">
        <v>0</v>
      </c>
      <c r="N993" s="17" t="n">
        <v>214.93</v>
      </c>
      <c r="O993" s="17" t="n">
        <f aca="false">K993*L993*(1-M993)</f>
        <v>1936.9</v>
      </c>
      <c r="P993" s="17" t="n">
        <f aca="false">N993*L993</f>
        <v>1504.51</v>
      </c>
      <c r="Q993" s="17" t="n">
        <f aca="false">O993-P993</f>
        <v>432.39</v>
      </c>
      <c r="R993" s="15" t="s">
        <v>63</v>
      </c>
      <c r="S993" s="15" t="s">
        <v>124</v>
      </c>
    </row>
    <row r="994" customFormat="false" ht="15" hidden="false" customHeight="true" outlineLevel="0" collapsed="false">
      <c r="A994" s="11" t="s">
        <v>1130</v>
      </c>
      <c r="B994" s="12" t="n">
        <v>45962</v>
      </c>
      <c r="C994" s="11" t="s">
        <v>49</v>
      </c>
      <c r="D994" s="11" t="s">
        <v>152</v>
      </c>
      <c r="E994" s="11" t="s">
        <v>152</v>
      </c>
      <c r="F994" s="11" t="s">
        <v>60</v>
      </c>
      <c r="G994" s="11" t="s">
        <v>42</v>
      </c>
      <c r="H994" s="11" t="s">
        <v>84</v>
      </c>
      <c r="I994" s="11" t="s">
        <v>100</v>
      </c>
      <c r="J994" s="11" t="s">
        <v>101</v>
      </c>
      <c r="K994" s="13" t="n">
        <v>1178.74</v>
      </c>
      <c r="L994" s="11" t="n">
        <v>9</v>
      </c>
      <c r="M994" s="14" t="n">
        <v>0.05</v>
      </c>
      <c r="N994" s="13" t="n">
        <v>969.54</v>
      </c>
      <c r="O994" s="13" t="n">
        <f aca="false">K994*L994*(1-M994)</f>
        <v>10078.227</v>
      </c>
      <c r="P994" s="13" t="n">
        <f aca="false">N994*L994</f>
        <v>8725.86</v>
      </c>
      <c r="Q994" s="13" t="n">
        <f aca="false">O994-P994</f>
        <v>1352.367</v>
      </c>
      <c r="R994" s="11" t="s">
        <v>63</v>
      </c>
      <c r="S994" s="11" t="s">
        <v>47</v>
      </c>
    </row>
    <row r="995" customFormat="false" ht="15" hidden="false" customHeight="true" outlineLevel="0" collapsed="false">
      <c r="A995" s="15" t="s">
        <v>1131</v>
      </c>
      <c r="B995" s="16" t="n">
        <v>45963</v>
      </c>
      <c r="C995" s="15" t="s">
        <v>49</v>
      </c>
      <c r="D995" s="15" t="s">
        <v>152</v>
      </c>
      <c r="E995" s="15" t="s">
        <v>152</v>
      </c>
      <c r="F995" s="15" t="s">
        <v>68</v>
      </c>
      <c r="G995" s="15" t="s">
        <v>52</v>
      </c>
      <c r="H995" s="15" t="s">
        <v>53</v>
      </c>
      <c r="I995" s="15" t="s">
        <v>94</v>
      </c>
      <c r="J995" s="15" t="s">
        <v>131</v>
      </c>
      <c r="K995" s="17" t="n">
        <v>31.39</v>
      </c>
      <c r="L995" s="15" t="n">
        <v>94</v>
      </c>
      <c r="M995" s="18" t="n">
        <v>0.05</v>
      </c>
      <c r="N995" s="17" t="n">
        <v>18.42</v>
      </c>
      <c r="O995" s="17" t="n">
        <f aca="false">K995*L995*(1-M995)</f>
        <v>2803.127</v>
      </c>
      <c r="P995" s="17" t="n">
        <f aca="false">N995*L995</f>
        <v>1731.48</v>
      </c>
      <c r="Q995" s="17" t="n">
        <f aca="false">O995-P995</f>
        <v>1071.647</v>
      </c>
      <c r="R995" s="15" t="s">
        <v>46</v>
      </c>
      <c r="S995" s="15" t="s">
        <v>47</v>
      </c>
    </row>
    <row r="996" customFormat="false" ht="15" hidden="false" customHeight="true" outlineLevel="0" collapsed="false">
      <c r="A996" s="11" t="s">
        <v>1132</v>
      </c>
      <c r="B996" s="12" t="n">
        <v>45963</v>
      </c>
      <c r="C996" s="11" t="s">
        <v>74</v>
      </c>
      <c r="D996" s="11" t="s">
        <v>75</v>
      </c>
      <c r="E996" s="11" t="s">
        <v>76</v>
      </c>
      <c r="F996" s="11" t="s">
        <v>118</v>
      </c>
      <c r="G996" s="11" t="s">
        <v>77</v>
      </c>
      <c r="H996" s="11" t="s">
        <v>43</v>
      </c>
      <c r="I996" s="11" t="s">
        <v>61</v>
      </c>
      <c r="J996" s="11" t="s">
        <v>147</v>
      </c>
      <c r="K996" s="13" t="n">
        <v>332.74</v>
      </c>
      <c r="L996" s="11" t="n">
        <v>40</v>
      </c>
      <c r="M996" s="14" t="n">
        <v>0</v>
      </c>
      <c r="N996" s="13" t="n">
        <v>132.28</v>
      </c>
      <c r="O996" s="13" t="n">
        <f aca="false">K996*L996*(1-M996)</f>
        <v>13309.6</v>
      </c>
      <c r="P996" s="13" t="n">
        <f aca="false">N996*L996</f>
        <v>5291.2</v>
      </c>
      <c r="Q996" s="13" t="n">
        <f aca="false">O996-P996</f>
        <v>8018.4</v>
      </c>
      <c r="R996" s="11" t="s">
        <v>63</v>
      </c>
      <c r="S996" s="11" t="s">
        <v>47</v>
      </c>
    </row>
    <row r="997" customFormat="false" ht="15" hidden="false" customHeight="true" outlineLevel="0" collapsed="false">
      <c r="A997" s="15" t="s">
        <v>1133</v>
      </c>
      <c r="B997" s="16" t="n">
        <v>45964</v>
      </c>
      <c r="C997" s="15" t="s">
        <v>38</v>
      </c>
      <c r="D997" s="15" t="s">
        <v>92</v>
      </c>
      <c r="E997" s="15" t="s">
        <v>93</v>
      </c>
      <c r="F997" s="15" t="s">
        <v>41</v>
      </c>
      <c r="G997" s="15" t="s">
        <v>77</v>
      </c>
      <c r="H997" s="15" t="s">
        <v>78</v>
      </c>
      <c r="I997" s="15" t="s">
        <v>154</v>
      </c>
      <c r="J997" s="15" t="s">
        <v>186</v>
      </c>
      <c r="K997" s="17" t="n">
        <v>963.29</v>
      </c>
      <c r="L997" s="15" t="n">
        <v>7</v>
      </c>
      <c r="M997" s="18" t="n">
        <v>0</v>
      </c>
      <c r="N997" s="17" t="n">
        <v>785.89</v>
      </c>
      <c r="O997" s="17" t="n">
        <f aca="false">K997*L997*(1-M997)</f>
        <v>6743.03</v>
      </c>
      <c r="P997" s="17" t="n">
        <f aca="false">N997*L997</f>
        <v>5501.23</v>
      </c>
      <c r="Q997" s="17" t="n">
        <f aca="false">O997-P997</f>
        <v>1241.8</v>
      </c>
      <c r="R997" s="15" t="s">
        <v>46</v>
      </c>
      <c r="S997" s="15" t="s">
        <v>47</v>
      </c>
    </row>
    <row r="998" customFormat="false" ht="15" hidden="false" customHeight="true" outlineLevel="0" collapsed="false">
      <c r="A998" s="11" t="s">
        <v>1134</v>
      </c>
      <c r="B998" s="12" t="n">
        <v>45966</v>
      </c>
      <c r="C998" s="11" t="s">
        <v>57</v>
      </c>
      <c r="D998" s="11" t="s">
        <v>162</v>
      </c>
      <c r="E998" s="11" t="s">
        <v>163</v>
      </c>
      <c r="F998" s="11" t="s">
        <v>177</v>
      </c>
      <c r="G998" s="11" t="s">
        <v>77</v>
      </c>
      <c r="H998" s="11" t="s">
        <v>84</v>
      </c>
      <c r="I998" s="11" t="s">
        <v>136</v>
      </c>
      <c r="J998" s="11" t="s">
        <v>137</v>
      </c>
      <c r="K998" s="13" t="n">
        <v>257.42</v>
      </c>
      <c r="L998" s="11" t="n">
        <v>22</v>
      </c>
      <c r="M998" s="14" t="n">
        <v>0</v>
      </c>
      <c r="N998" s="13" t="n">
        <v>193.66</v>
      </c>
      <c r="O998" s="13" t="n">
        <f aca="false">K998*L998*(1-M998)</f>
        <v>5663.24</v>
      </c>
      <c r="P998" s="13" t="n">
        <f aca="false">N998*L998</f>
        <v>4260.52</v>
      </c>
      <c r="Q998" s="13" t="n">
        <f aca="false">O998-P998</f>
        <v>1402.72</v>
      </c>
      <c r="R998" s="11" t="s">
        <v>46</v>
      </c>
      <c r="S998" s="11" t="s">
        <v>72</v>
      </c>
    </row>
    <row r="999" customFormat="false" ht="15" hidden="false" customHeight="true" outlineLevel="0" collapsed="false">
      <c r="A999" s="15" t="s">
        <v>1135</v>
      </c>
      <c r="B999" s="16" t="n">
        <v>45966</v>
      </c>
      <c r="C999" s="15" t="s">
        <v>65</v>
      </c>
      <c r="D999" s="15" t="s">
        <v>66</v>
      </c>
      <c r="E999" s="15" t="s">
        <v>67</v>
      </c>
      <c r="F999" s="15" t="s">
        <v>118</v>
      </c>
      <c r="G999" s="15" t="s">
        <v>42</v>
      </c>
      <c r="H999" s="15" t="s">
        <v>53</v>
      </c>
      <c r="I999" s="15" t="s">
        <v>54</v>
      </c>
      <c r="J999" s="15" t="s">
        <v>55</v>
      </c>
      <c r="K999" s="17" t="n">
        <v>14.45</v>
      </c>
      <c r="L999" s="15" t="n">
        <v>36</v>
      </c>
      <c r="M999" s="18" t="n">
        <v>0.05</v>
      </c>
      <c r="N999" s="17" t="n">
        <v>10.14</v>
      </c>
      <c r="O999" s="17" t="n">
        <f aca="false">K999*L999*(1-M999)</f>
        <v>494.19</v>
      </c>
      <c r="P999" s="17" t="n">
        <f aca="false">N999*L999</f>
        <v>365.04</v>
      </c>
      <c r="Q999" s="17" t="n">
        <f aca="false">O999-P999</f>
        <v>129.15</v>
      </c>
      <c r="R999" s="15" t="s">
        <v>46</v>
      </c>
      <c r="S999" s="15" t="s">
        <v>47</v>
      </c>
    </row>
    <row r="1000" customFormat="false" ht="15" hidden="false" customHeight="true" outlineLevel="0" collapsed="false">
      <c r="A1000" s="11" t="s">
        <v>1136</v>
      </c>
      <c r="B1000" s="12" t="n">
        <v>45966</v>
      </c>
      <c r="C1000" s="11" t="s">
        <v>57</v>
      </c>
      <c r="D1000" s="11" t="s">
        <v>58</v>
      </c>
      <c r="E1000" s="11" t="s">
        <v>59</v>
      </c>
      <c r="F1000" s="11" t="s">
        <v>41</v>
      </c>
      <c r="G1000" s="11" t="s">
        <v>52</v>
      </c>
      <c r="H1000" s="11" t="s">
        <v>78</v>
      </c>
      <c r="I1000" s="11" t="s">
        <v>143</v>
      </c>
      <c r="J1000" s="11" t="s">
        <v>144</v>
      </c>
      <c r="K1000" s="13" t="n">
        <v>1163.12</v>
      </c>
      <c r="L1000" s="11" t="n">
        <v>8</v>
      </c>
      <c r="M1000" s="14" t="n">
        <v>0</v>
      </c>
      <c r="N1000" s="13" t="n">
        <v>958.91</v>
      </c>
      <c r="O1000" s="13" t="n">
        <f aca="false">K1000*L1000*(1-M1000)</f>
        <v>9304.96</v>
      </c>
      <c r="P1000" s="13" t="n">
        <f aca="false">N1000*L1000</f>
        <v>7671.28</v>
      </c>
      <c r="Q1000" s="13" t="n">
        <f aca="false">O1000-P1000</f>
        <v>1633.68</v>
      </c>
      <c r="R1000" s="11" t="s">
        <v>114</v>
      </c>
      <c r="S1000" s="11" t="s">
        <v>47</v>
      </c>
    </row>
    <row r="1001" customFormat="false" ht="15" hidden="false" customHeight="true" outlineLevel="0" collapsed="false">
      <c r="A1001" s="15" t="s">
        <v>1137</v>
      </c>
      <c r="B1001" s="16" t="n">
        <v>45966</v>
      </c>
      <c r="C1001" s="15" t="s">
        <v>49</v>
      </c>
      <c r="D1001" s="15" t="s">
        <v>152</v>
      </c>
      <c r="E1001" s="15" t="s">
        <v>152</v>
      </c>
      <c r="F1001" s="15" t="s">
        <v>68</v>
      </c>
      <c r="G1001" s="15" t="s">
        <v>77</v>
      </c>
      <c r="H1001" s="15" t="s">
        <v>78</v>
      </c>
      <c r="I1001" s="15" t="s">
        <v>143</v>
      </c>
      <c r="J1001" s="15" t="s">
        <v>144</v>
      </c>
      <c r="K1001" s="17" t="n">
        <v>1198.97</v>
      </c>
      <c r="L1001" s="15" t="n">
        <v>16</v>
      </c>
      <c r="M1001" s="18" t="n">
        <v>0</v>
      </c>
      <c r="N1001" s="17" t="n">
        <v>973.97</v>
      </c>
      <c r="O1001" s="17" t="n">
        <f aca="false">K1001*L1001*(1-M1001)</f>
        <v>19183.52</v>
      </c>
      <c r="P1001" s="17" t="n">
        <f aca="false">N1001*L1001</f>
        <v>15583.52</v>
      </c>
      <c r="Q1001" s="17" t="n">
        <f aca="false">O1001-P1001</f>
        <v>3600</v>
      </c>
      <c r="R1001" s="15" t="s">
        <v>46</v>
      </c>
      <c r="S1001" s="15" t="s">
        <v>187</v>
      </c>
    </row>
    <row r="1002" customFormat="false" ht="15" hidden="false" customHeight="true" outlineLevel="0" collapsed="false">
      <c r="A1002" s="11" t="s">
        <v>1138</v>
      </c>
      <c r="B1002" s="12" t="n">
        <v>45967</v>
      </c>
      <c r="C1002" s="11" t="s">
        <v>65</v>
      </c>
      <c r="D1002" s="11" t="s">
        <v>149</v>
      </c>
      <c r="E1002" s="11" t="s">
        <v>150</v>
      </c>
      <c r="F1002" s="11" t="s">
        <v>109</v>
      </c>
      <c r="G1002" s="11" t="s">
        <v>42</v>
      </c>
      <c r="H1002" s="11" t="s">
        <v>53</v>
      </c>
      <c r="I1002" s="11" t="s">
        <v>69</v>
      </c>
      <c r="J1002" s="11" t="s">
        <v>70</v>
      </c>
      <c r="K1002" s="13" t="n">
        <v>24.75</v>
      </c>
      <c r="L1002" s="11" t="n">
        <v>131</v>
      </c>
      <c r="M1002" s="14" t="n">
        <v>0.1</v>
      </c>
      <c r="N1002" s="13" t="n">
        <v>16.48</v>
      </c>
      <c r="O1002" s="13" t="n">
        <f aca="false">K1002*L1002*(1-M1002)</f>
        <v>2918.025</v>
      </c>
      <c r="P1002" s="13" t="n">
        <f aca="false">N1002*L1002</f>
        <v>2158.88</v>
      </c>
      <c r="Q1002" s="13" t="n">
        <f aca="false">O1002-P1002</f>
        <v>759.145</v>
      </c>
      <c r="R1002" s="11" t="s">
        <v>63</v>
      </c>
      <c r="S1002" s="11" t="s">
        <v>47</v>
      </c>
    </row>
    <row r="1003" customFormat="false" ht="15" hidden="false" customHeight="true" outlineLevel="0" collapsed="false">
      <c r="A1003" s="15" t="s">
        <v>1139</v>
      </c>
      <c r="B1003" s="16" t="n">
        <v>45967</v>
      </c>
      <c r="C1003" s="15" t="s">
        <v>49</v>
      </c>
      <c r="D1003" s="15" t="s">
        <v>97</v>
      </c>
      <c r="E1003" s="15" t="s">
        <v>108</v>
      </c>
      <c r="F1003" s="15" t="s">
        <v>51</v>
      </c>
      <c r="G1003" s="15" t="s">
        <v>130</v>
      </c>
      <c r="H1003" s="15" t="s">
        <v>78</v>
      </c>
      <c r="I1003" s="15" t="s">
        <v>120</v>
      </c>
      <c r="J1003" s="15" t="s">
        <v>121</v>
      </c>
      <c r="K1003" s="17" t="n">
        <v>232.89</v>
      </c>
      <c r="L1003" s="15" t="n">
        <v>35</v>
      </c>
      <c r="M1003" s="18" t="n">
        <v>0.05</v>
      </c>
      <c r="N1003" s="17" t="n">
        <v>189.61</v>
      </c>
      <c r="O1003" s="17" t="n">
        <f aca="false">K1003*L1003*(1-M1003)</f>
        <v>7743.5925</v>
      </c>
      <c r="P1003" s="17" t="n">
        <f aca="false">N1003*L1003</f>
        <v>6636.35</v>
      </c>
      <c r="Q1003" s="17" t="n">
        <f aca="false">O1003-P1003</f>
        <v>1107.2425</v>
      </c>
      <c r="R1003" s="15" t="s">
        <v>114</v>
      </c>
      <c r="S1003" s="15" t="s">
        <v>47</v>
      </c>
    </row>
    <row r="1004" customFormat="false" ht="15" hidden="false" customHeight="true" outlineLevel="0" collapsed="false">
      <c r="A1004" s="11" t="s">
        <v>1140</v>
      </c>
      <c r="B1004" s="12" t="n">
        <v>45967</v>
      </c>
      <c r="C1004" s="11" t="s">
        <v>65</v>
      </c>
      <c r="D1004" s="11" t="s">
        <v>82</v>
      </c>
      <c r="E1004" s="11" t="s">
        <v>83</v>
      </c>
      <c r="F1004" s="11" t="s">
        <v>118</v>
      </c>
      <c r="G1004" s="11" t="s">
        <v>130</v>
      </c>
      <c r="H1004" s="11" t="s">
        <v>43</v>
      </c>
      <c r="I1004" s="11" t="s">
        <v>44</v>
      </c>
      <c r="J1004" s="11" t="s">
        <v>106</v>
      </c>
      <c r="K1004" s="13" t="n">
        <v>497.9</v>
      </c>
      <c r="L1004" s="11" t="n">
        <v>7</v>
      </c>
      <c r="M1004" s="14" t="n">
        <v>0</v>
      </c>
      <c r="N1004" s="13" t="n">
        <v>140.8</v>
      </c>
      <c r="O1004" s="13" t="n">
        <f aca="false">K1004*L1004*(1-M1004)</f>
        <v>3485.3</v>
      </c>
      <c r="P1004" s="13" t="n">
        <f aca="false">N1004*L1004</f>
        <v>985.6</v>
      </c>
      <c r="Q1004" s="13" t="n">
        <f aca="false">O1004-P1004</f>
        <v>2499.7</v>
      </c>
      <c r="R1004" s="11" t="s">
        <v>71</v>
      </c>
      <c r="S1004" s="11" t="s">
        <v>47</v>
      </c>
    </row>
    <row r="1005" customFormat="false" ht="15" hidden="false" customHeight="true" outlineLevel="0" collapsed="false">
      <c r="A1005" s="15" t="s">
        <v>1141</v>
      </c>
      <c r="B1005" s="16" t="n">
        <v>45967</v>
      </c>
      <c r="C1005" s="15" t="s">
        <v>49</v>
      </c>
      <c r="D1005" s="15" t="s">
        <v>97</v>
      </c>
      <c r="E1005" s="15" t="s">
        <v>112</v>
      </c>
      <c r="F1005" s="15" t="s">
        <v>99</v>
      </c>
      <c r="G1005" s="15" t="s">
        <v>77</v>
      </c>
      <c r="H1005" s="15" t="s">
        <v>53</v>
      </c>
      <c r="I1005" s="15" t="s">
        <v>69</v>
      </c>
      <c r="J1005" s="15" t="s">
        <v>128</v>
      </c>
      <c r="K1005" s="17" t="n">
        <v>15.67</v>
      </c>
      <c r="L1005" s="15" t="n">
        <v>162</v>
      </c>
      <c r="M1005" s="18" t="n">
        <v>0</v>
      </c>
      <c r="N1005" s="17" t="n">
        <v>9.98</v>
      </c>
      <c r="O1005" s="17" t="n">
        <f aca="false">K1005*L1005*(1-M1005)</f>
        <v>2538.54</v>
      </c>
      <c r="P1005" s="17" t="n">
        <f aca="false">N1005*L1005</f>
        <v>1616.76</v>
      </c>
      <c r="Q1005" s="17" t="n">
        <f aca="false">O1005-P1005</f>
        <v>921.78</v>
      </c>
      <c r="R1005" s="15" t="s">
        <v>46</v>
      </c>
      <c r="S1005" s="15" t="s">
        <v>47</v>
      </c>
    </row>
    <row r="1006" customFormat="false" ht="15" hidden="false" customHeight="true" outlineLevel="0" collapsed="false">
      <c r="A1006" s="11" t="s">
        <v>1142</v>
      </c>
      <c r="B1006" s="12" t="n">
        <v>45967</v>
      </c>
      <c r="C1006" s="11" t="s">
        <v>57</v>
      </c>
      <c r="D1006" s="11" t="s">
        <v>162</v>
      </c>
      <c r="E1006" s="11" t="s">
        <v>163</v>
      </c>
      <c r="F1006" s="11" t="s">
        <v>177</v>
      </c>
      <c r="G1006" s="11" t="s">
        <v>52</v>
      </c>
      <c r="H1006" s="11" t="s">
        <v>84</v>
      </c>
      <c r="I1006" s="11" t="s">
        <v>85</v>
      </c>
      <c r="J1006" s="11" t="s">
        <v>86</v>
      </c>
      <c r="K1006" s="13" t="n">
        <v>547.63</v>
      </c>
      <c r="L1006" s="11" t="n">
        <v>21</v>
      </c>
      <c r="M1006" s="14" t="n">
        <v>0</v>
      </c>
      <c r="N1006" s="13" t="n">
        <v>400.88</v>
      </c>
      <c r="O1006" s="13" t="n">
        <f aca="false">K1006*L1006*(1-M1006)</f>
        <v>11500.23</v>
      </c>
      <c r="P1006" s="13" t="n">
        <f aca="false">N1006*L1006</f>
        <v>8418.48</v>
      </c>
      <c r="Q1006" s="13" t="n">
        <f aca="false">O1006-P1006</f>
        <v>3081.75</v>
      </c>
      <c r="R1006" s="11" t="s">
        <v>63</v>
      </c>
      <c r="S1006" s="11" t="s">
        <v>47</v>
      </c>
    </row>
    <row r="1007" customFormat="false" ht="15" hidden="false" customHeight="true" outlineLevel="0" collapsed="false">
      <c r="A1007" s="15" t="s">
        <v>1143</v>
      </c>
      <c r="B1007" s="16" t="n">
        <v>45968</v>
      </c>
      <c r="C1007" s="15" t="s">
        <v>57</v>
      </c>
      <c r="D1007" s="15" t="s">
        <v>103</v>
      </c>
      <c r="E1007" s="15" t="s">
        <v>104</v>
      </c>
      <c r="F1007" s="15" t="s">
        <v>123</v>
      </c>
      <c r="G1007" s="15" t="s">
        <v>126</v>
      </c>
      <c r="H1007" s="15" t="s">
        <v>78</v>
      </c>
      <c r="I1007" s="15" t="s">
        <v>120</v>
      </c>
      <c r="J1007" s="15" t="s">
        <v>235</v>
      </c>
      <c r="K1007" s="17" t="n">
        <v>138.28</v>
      </c>
      <c r="L1007" s="15" t="n">
        <v>70</v>
      </c>
      <c r="M1007" s="18" t="n">
        <v>0.2</v>
      </c>
      <c r="N1007" s="17" t="n">
        <v>98.45</v>
      </c>
      <c r="O1007" s="17" t="n">
        <f aca="false">K1007*L1007*(1-M1007)</f>
        <v>7743.68</v>
      </c>
      <c r="P1007" s="17" t="n">
        <f aca="false">N1007*L1007</f>
        <v>6891.5</v>
      </c>
      <c r="Q1007" s="17" t="n">
        <f aca="false">O1007-P1007</f>
        <v>852.18</v>
      </c>
      <c r="R1007" s="15" t="s">
        <v>46</v>
      </c>
      <c r="S1007" s="15" t="s">
        <v>72</v>
      </c>
    </row>
    <row r="1008" customFormat="false" ht="15" hidden="false" customHeight="true" outlineLevel="0" collapsed="false">
      <c r="A1008" s="11" t="s">
        <v>1144</v>
      </c>
      <c r="B1008" s="12" t="n">
        <v>45968</v>
      </c>
      <c r="C1008" s="11" t="s">
        <v>74</v>
      </c>
      <c r="D1008" s="11" t="s">
        <v>75</v>
      </c>
      <c r="E1008" s="11" t="s">
        <v>76</v>
      </c>
      <c r="F1008" s="11" t="s">
        <v>109</v>
      </c>
      <c r="G1008" s="11" t="s">
        <v>130</v>
      </c>
      <c r="H1008" s="11" t="s">
        <v>84</v>
      </c>
      <c r="I1008" s="11" t="s">
        <v>100</v>
      </c>
      <c r="J1008" s="11" t="s">
        <v>139</v>
      </c>
      <c r="K1008" s="13" t="n">
        <v>1238.28</v>
      </c>
      <c r="L1008" s="11" t="n">
        <v>1</v>
      </c>
      <c r="M1008" s="14" t="n">
        <v>0.1</v>
      </c>
      <c r="N1008" s="13" t="n">
        <v>1003.03</v>
      </c>
      <c r="O1008" s="13" t="n">
        <f aca="false">K1008*L1008*(1-M1008)</f>
        <v>1114.452</v>
      </c>
      <c r="P1008" s="13" t="n">
        <f aca="false">N1008*L1008</f>
        <v>1003.03</v>
      </c>
      <c r="Q1008" s="13" t="n">
        <f aca="false">O1008-P1008</f>
        <v>111.422</v>
      </c>
      <c r="R1008" s="11" t="s">
        <v>63</v>
      </c>
      <c r="S1008" s="11" t="s">
        <v>47</v>
      </c>
    </row>
    <row r="1009" customFormat="false" ht="15" hidden="false" customHeight="true" outlineLevel="0" collapsed="false">
      <c r="A1009" s="15" t="s">
        <v>1145</v>
      </c>
      <c r="B1009" s="16" t="n">
        <v>45968</v>
      </c>
      <c r="C1009" s="15" t="s">
        <v>38</v>
      </c>
      <c r="D1009" s="15" t="s">
        <v>92</v>
      </c>
      <c r="E1009" s="15" t="s">
        <v>93</v>
      </c>
      <c r="F1009" s="15" t="s">
        <v>118</v>
      </c>
      <c r="G1009" s="15" t="s">
        <v>42</v>
      </c>
      <c r="H1009" s="15" t="s">
        <v>53</v>
      </c>
      <c r="I1009" s="15" t="s">
        <v>69</v>
      </c>
      <c r="J1009" s="15" t="s">
        <v>128</v>
      </c>
      <c r="K1009" s="17" t="n">
        <v>12.12</v>
      </c>
      <c r="L1009" s="15" t="n">
        <v>133</v>
      </c>
      <c r="M1009" s="18" t="n">
        <v>0.1</v>
      </c>
      <c r="N1009" s="17" t="n">
        <v>7.66</v>
      </c>
      <c r="O1009" s="17" t="n">
        <f aca="false">K1009*L1009*(1-M1009)</f>
        <v>1450.764</v>
      </c>
      <c r="P1009" s="17" t="n">
        <f aca="false">N1009*L1009</f>
        <v>1018.78</v>
      </c>
      <c r="Q1009" s="17" t="n">
        <f aca="false">O1009-P1009</f>
        <v>431.984</v>
      </c>
      <c r="R1009" s="15" t="s">
        <v>167</v>
      </c>
      <c r="S1009" s="15" t="s">
        <v>72</v>
      </c>
    </row>
    <row r="1010" customFormat="false" ht="15" hidden="false" customHeight="true" outlineLevel="0" collapsed="false">
      <c r="A1010" s="11" t="s">
        <v>1146</v>
      </c>
      <c r="B1010" s="12" t="n">
        <v>45972</v>
      </c>
      <c r="C1010" s="11" t="s">
        <v>65</v>
      </c>
      <c r="D1010" s="11" t="s">
        <v>82</v>
      </c>
      <c r="E1010" s="11" t="s">
        <v>83</v>
      </c>
      <c r="F1010" s="11" t="s">
        <v>68</v>
      </c>
      <c r="G1010" s="11" t="s">
        <v>130</v>
      </c>
      <c r="H1010" s="11" t="s">
        <v>53</v>
      </c>
      <c r="I1010" s="11" t="s">
        <v>54</v>
      </c>
      <c r="J1010" s="11" t="s">
        <v>55</v>
      </c>
      <c r="K1010" s="13" t="n">
        <v>15.81</v>
      </c>
      <c r="L1010" s="11" t="n">
        <v>130</v>
      </c>
      <c r="M1010" s="14" t="n">
        <v>0</v>
      </c>
      <c r="N1010" s="13" t="n">
        <v>10.03</v>
      </c>
      <c r="O1010" s="13" t="n">
        <f aca="false">K1010*L1010*(1-M1010)</f>
        <v>2055.3</v>
      </c>
      <c r="P1010" s="13" t="n">
        <f aca="false">N1010*L1010</f>
        <v>1303.9</v>
      </c>
      <c r="Q1010" s="13" t="n">
        <f aca="false">O1010-P1010</f>
        <v>751.4</v>
      </c>
      <c r="R1010" s="11" t="s">
        <v>46</v>
      </c>
      <c r="S1010" s="11" t="s">
        <v>47</v>
      </c>
    </row>
    <row r="1011" customFormat="false" ht="15" hidden="false" customHeight="true" outlineLevel="0" collapsed="false">
      <c r="A1011" s="15" t="s">
        <v>1147</v>
      </c>
      <c r="B1011" s="16" t="n">
        <v>45972</v>
      </c>
      <c r="C1011" s="15" t="s">
        <v>57</v>
      </c>
      <c r="D1011" s="15" t="s">
        <v>103</v>
      </c>
      <c r="E1011" s="15" t="s">
        <v>104</v>
      </c>
      <c r="F1011" s="15" t="s">
        <v>135</v>
      </c>
      <c r="G1011" s="15" t="s">
        <v>77</v>
      </c>
      <c r="H1011" s="15" t="s">
        <v>53</v>
      </c>
      <c r="I1011" s="15" t="s">
        <v>94</v>
      </c>
      <c r="J1011" s="15" t="s">
        <v>95</v>
      </c>
      <c r="K1011" s="17" t="n">
        <v>28.62</v>
      </c>
      <c r="L1011" s="15" t="n">
        <v>5</v>
      </c>
      <c r="M1011" s="18" t="n">
        <v>0</v>
      </c>
      <c r="N1011" s="17" t="n">
        <v>17.85</v>
      </c>
      <c r="O1011" s="17" t="n">
        <f aca="false">K1011*L1011*(1-M1011)</f>
        <v>143.1</v>
      </c>
      <c r="P1011" s="17" t="n">
        <f aca="false">N1011*L1011</f>
        <v>89.25</v>
      </c>
      <c r="Q1011" s="17" t="n">
        <f aca="false">O1011-P1011</f>
        <v>53.85</v>
      </c>
      <c r="R1011" s="15" t="s">
        <v>71</v>
      </c>
      <c r="S1011" s="15" t="s">
        <v>47</v>
      </c>
    </row>
    <row r="1012" customFormat="false" ht="15" hidden="false" customHeight="true" outlineLevel="0" collapsed="false">
      <c r="A1012" s="11" t="s">
        <v>1148</v>
      </c>
      <c r="B1012" s="12" t="n">
        <v>45974</v>
      </c>
      <c r="C1012" s="11" t="s">
        <v>74</v>
      </c>
      <c r="D1012" s="11" t="s">
        <v>75</v>
      </c>
      <c r="E1012" s="11" t="s">
        <v>76</v>
      </c>
      <c r="F1012" s="11" t="s">
        <v>99</v>
      </c>
      <c r="G1012" s="11" t="s">
        <v>52</v>
      </c>
      <c r="H1012" s="11" t="s">
        <v>53</v>
      </c>
      <c r="I1012" s="11" t="s">
        <v>69</v>
      </c>
      <c r="J1012" s="11" t="s">
        <v>128</v>
      </c>
      <c r="K1012" s="13" t="n">
        <v>16.24</v>
      </c>
      <c r="L1012" s="11" t="n">
        <v>80</v>
      </c>
      <c r="M1012" s="14" t="n">
        <v>0.05</v>
      </c>
      <c r="N1012" s="13" t="n">
        <v>10.63</v>
      </c>
      <c r="O1012" s="13" t="n">
        <f aca="false">K1012*L1012*(1-M1012)</f>
        <v>1234.24</v>
      </c>
      <c r="P1012" s="13" t="n">
        <f aca="false">N1012*L1012</f>
        <v>850.4</v>
      </c>
      <c r="Q1012" s="13" t="n">
        <f aca="false">O1012-P1012</f>
        <v>383.84</v>
      </c>
      <c r="R1012" s="11" t="s">
        <v>63</v>
      </c>
      <c r="S1012" s="11" t="s">
        <v>47</v>
      </c>
    </row>
    <row r="1013" customFormat="false" ht="15" hidden="false" customHeight="true" outlineLevel="0" collapsed="false">
      <c r="A1013" s="15" t="s">
        <v>1149</v>
      </c>
      <c r="B1013" s="16" t="n">
        <v>45974</v>
      </c>
      <c r="C1013" s="15" t="s">
        <v>49</v>
      </c>
      <c r="D1013" s="15" t="s">
        <v>50</v>
      </c>
      <c r="E1013" s="15" t="s">
        <v>50</v>
      </c>
      <c r="F1013" s="15" t="s">
        <v>118</v>
      </c>
      <c r="G1013" s="15" t="s">
        <v>42</v>
      </c>
      <c r="H1013" s="15" t="s">
        <v>53</v>
      </c>
      <c r="I1013" s="15" t="s">
        <v>54</v>
      </c>
      <c r="J1013" s="15" t="s">
        <v>55</v>
      </c>
      <c r="K1013" s="17" t="n">
        <v>18.07</v>
      </c>
      <c r="L1013" s="15" t="n">
        <v>13</v>
      </c>
      <c r="M1013" s="18" t="n">
        <v>0</v>
      </c>
      <c r="N1013" s="17" t="n">
        <v>12.04</v>
      </c>
      <c r="O1013" s="17" t="n">
        <f aca="false">K1013*L1013*(1-M1013)</f>
        <v>234.91</v>
      </c>
      <c r="P1013" s="17" t="n">
        <f aca="false">N1013*L1013</f>
        <v>156.52</v>
      </c>
      <c r="Q1013" s="17" t="n">
        <f aca="false">O1013-P1013</f>
        <v>78.39</v>
      </c>
      <c r="R1013" s="15" t="s">
        <v>167</v>
      </c>
      <c r="S1013" s="15" t="s">
        <v>47</v>
      </c>
    </row>
    <row r="1014" customFormat="false" ht="15" hidden="false" customHeight="true" outlineLevel="0" collapsed="false">
      <c r="A1014" s="11" t="s">
        <v>1150</v>
      </c>
      <c r="B1014" s="12" t="n">
        <v>45975</v>
      </c>
      <c r="C1014" s="11" t="s">
        <v>49</v>
      </c>
      <c r="D1014" s="11" t="s">
        <v>97</v>
      </c>
      <c r="E1014" s="11" t="s">
        <v>112</v>
      </c>
      <c r="F1014" s="11" t="s">
        <v>68</v>
      </c>
      <c r="G1014" s="11" t="s">
        <v>52</v>
      </c>
      <c r="H1014" s="11" t="s">
        <v>78</v>
      </c>
      <c r="I1014" s="11" t="s">
        <v>120</v>
      </c>
      <c r="J1014" s="11" t="s">
        <v>121</v>
      </c>
      <c r="K1014" s="13" t="n">
        <v>419.03</v>
      </c>
      <c r="L1014" s="11" t="n">
        <v>36</v>
      </c>
      <c r="M1014" s="14" t="n">
        <v>0.2</v>
      </c>
      <c r="N1014" s="13" t="n">
        <v>306.63</v>
      </c>
      <c r="O1014" s="13" t="n">
        <f aca="false">K1014*L1014*(1-M1014)</f>
        <v>12068.064</v>
      </c>
      <c r="P1014" s="13" t="n">
        <f aca="false">N1014*L1014</f>
        <v>11038.68</v>
      </c>
      <c r="Q1014" s="13" t="n">
        <f aca="false">O1014-P1014</f>
        <v>1029.384</v>
      </c>
      <c r="R1014" s="11" t="s">
        <v>63</v>
      </c>
      <c r="S1014" s="11" t="s">
        <v>47</v>
      </c>
    </row>
    <row r="1015" customFormat="false" ht="15" hidden="false" customHeight="true" outlineLevel="0" collapsed="false">
      <c r="A1015" s="15" t="s">
        <v>1151</v>
      </c>
      <c r="B1015" s="16" t="n">
        <v>45975</v>
      </c>
      <c r="C1015" s="15" t="s">
        <v>65</v>
      </c>
      <c r="D1015" s="15" t="s">
        <v>149</v>
      </c>
      <c r="E1015" s="15" t="s">
        <v>150</v>
      </c>
      <c r="F1015" s="15" t="s">
        <v>60</v>
      </c>
      <c r="G1015" s="15" t="s">
        <v>42</v>
      </c>
      <c r="H1015" s="15" t="s">
        <v>43</v>
      </c>
      <c r="I1015" s="15" t="s">
        <v>44</v>
      </c>
      <c r="J1015" s="15" t="s">
        <v>106</v>
      </c>
      <c r="K1015" s="17" t="n">
        <v>440.62</v>
      </c>
      <c r="L1015" s="15" t="n">
        <v>27</v>
      </c>
      <c r="M1015" s="18" t="n">
        <v>0.1</v>
      </c>
      <c r="N1015" s="17" t="n">
        <v>150.47</v>
      </c>
      <c r="O1015" s="17" t="n">
        <f aca="false">K1015*L1015*(1-M1015)</f>
        <v>10707.066</v>
      </c>
      <c r="P1015" s="17" t="n">
        <f aca="false">N1015*L1015</f>
        <v>4062.69</v>
      </c>
      <c r="Q1015" s="17" t="n">
        <f aca="false">O1015-P1015</f>
        <v>6644.376</v>
      </c>
      <c r="R1015" s="15" t="s">
        <v>46</v>
      </c>
      <c r="S1015" s="15" t="s">
        <v>47</v>
      </c>
    </row>
    <row r="1016" customFormat="false" ht="15" hidden="false" customHeight="true" outlineLevel="0" collapsed="false">
      <c r="A1016" s="11" t="s">
        <v>1152</v>
      </c>
      <c r="B1016" s="12" t="n">
        <v>45976</v>
      </c>
      <c r="C1016" s="11" t="s">
        <v>38</v>
      </c>
      <c r="D1016" s="11" t="s">
        <v>92</v>
      </c>
      <c r="E1016" s="11" t="s">
        <v>93</v>
      </c>
      <c r="F1016" s="11" t="s">
        <v>118</v>
      </c>
      <c r="G1016" s="11" t="s">
        <v>42</v>
      </c>
      <c r="H1016" s="11" t="s">
        <v>53</v>
      </c>
      <c r="I1016" s="11" t="s">
        <v>69</v>
      </c>
      <c r="J1016" s="11" t="s">
        <v>128</v>
      </c>
      <c r="K1016" s="13" t="n">
        <v>12.9</v>
      </c>
      <c r="L1016" s="11" t="n">
        <v>83</v>
      </c>
      <c r="M1016" s="14" t="n">
        <v>0</v>
      </c>
      <c r="N1016" s="13" t="n">
        <v>8.69</v>
      </c>
      <c r="O1016" s="13" t="n">
        <f aca="false">K1016*L1016*(1-M1016)</f>
        <v>1070.7</v>
      </c>
      <c r="P1016" s="13" t="n">
        <f aca="false">N1016*L1016</f>
        <v>721.27</v>
      </c>
      <c r="Q1016" s="13" t="n">
        <f aca="false">O1016-P1016</f>
        <v>349.43</v>
      </c>
      <c r="R1016" s="11" t="s">
        <v>46</v>
      </c>
      <c r="S1016" s="11" t="s">
        <v>47</v>
      </c>
    </row>
    <row r="1017" customFormat="false" ht="15" hidden="false" customHeight="true" outlineLevel="0" collapsed="false">
      <c r="A1017" s="15" t="s">
        <v>1153</v>
      </c>
      <c r="B1017" s="16" t="n">
        <v>45976</v>
      </c>
      <c r="C1017" s="15" t="s">
        <v>65</v>
      </c>
      <c r="D1017" s="15" t="s">
        <v>149</v>
      </c>
      <c r="E1017" s="15" t="s">
        <v>150</v>
      </c>
      <c r="F1017" s="15" t="s">
        <v>99</v>
      </c>
      <c r="G1017" s="15" t="s">
        <v>130</v>
      </c>
      <c r="H1017" s="15" t="s">
        <v>53</v>
      </c>
      <c r="I1017" s="15" t="s">
        <v>69</v>
      </c>
      <c r="J1017" s="15" t="s">
        <v>70</v>
      </c>
      <c r="K1017" s="17" t="n">
        <v>22.96</v>
      </c>
      <c r="L1017" s="15" t="n">
        <v>26</v>
      </c>
      <c r="M1017" s="18" t="n">
        <v>0.15</v>
      </c>
      <c r="N1017" s="17" t="n">
        <v>15.12</v>
      </c>
      <c r="O1017" s="17" t="n">
        <f aca="false">K1017*L1017*(1-M1017)</f>
        <v>507.416</v>
      </c>
      <c r="P1017" s="17" t="n">
        <f aca="false">N1017*L1017</f>
        <v>393.12</v>
      </c>
      <c r="Q1017" s="17" t="n">
        <f aca="false">O1017-P1017</f>
        <v>114.296</v>
      </c>
      <c r="R1017" s="15" t="s">
        <v>63</v>
      </c>
      <c r="S1017" s="15" t="s">
        <v>47</v>
      </c>
    </row>
    <row r="1018" customFormat="false" ht="15" hidden="false" customHeight="true" outlineLevel="0" collapsed="false">
      <c r="A1018" s="11" t="s">
        <v>1154</v>
      </c>
      <c r="B1018" s="12" t="n">
        <v>45978</v>
      </c>
      <c r="C1018" s="11" t="s">
        <v>65</v>
      </c>
      <c r="D1018" s="11" t="s">
        <v>149</v>
      </c>
      <c r="E1018" s="11" t="s">
        <v>150</v>
      </c>
      <c r="F1018" s="11" t="s">
        <v>99</v>
      </c>
      <c r="G1018" s="11" t="s">
        <v>52</v>
      </c>
      <c r="H1018" s="11" t="s">
        <v>53</v>
      </c>
      <c r="I1018" s="11" t="s">
        <v>94</v>
      </c>
      <c r="J1018" s="11" t="s">
        <v>131</v>
      </c>
      <c r="K1018" s="13" t="n">
        <v>44.15</v>
      </c>
      <c r="L1018" s="11" t="n">
        <v>21</v>
      </c>
      <c r="M1018" s="14" t="n">
        <v>0.2</v>
      </c>
      <c r="N1018" s="13" t="n">
        <v>27.99</v>
      </c>
      <c r="O1018" s="13" t="n">
        <f aca="false">K1018*L1018*(1-M1018)</f>
        <v>741.72</v>
      </c>
      <c r="P1018" s="13" t="n">
        <f aca="false">N1018*L1018</f>
        <v>587.79</v>
      </c>
      <c r="Q1018" s="13" t="n">
        <f aca="false">O1018-P1018</f>
        <v>153.93</v>
      </c>
      <c r="R1018" s="11" t="s">
        <v>63</v>
      </c>
      <c r="S1018" s="11" t="s">
        <v>47</v>
      </c>
    </row>
    <row r="1019" customFormat="false" ht="15" hidden="false" customHeight="true" outlineLevel="0" collapsed="false">
      <c r="A1019" s="15" t="s">
        <v>1155</v>
      </c>
      <c r="B1019" s="16" t="n">
        <v>45978</v>
      </c>
      <c r="C1019" s="15" t="s">
        <v>38</v>
      </c>
      <c r="D1019" s="15" t="s">
        <v>88</v>
      </c>
      <c r="E1019" s="15" t="s">
        <v>89</v>
      </c>
      <c r="F1019" s="15" t="s">
        <v>109</v>
      </c>
      <c r="G1019" s="15" t="s">
        <v>52</v>
      </c>
      <c r="H1019" s="15" t="s">
        <v>84</v>
      </c>
      <c r="I1019" s="15" t="s">
        <v>100</v>
      </c>
      <c r="J1019" s="15" t="s">
        <v>101</v>
      </c>
      <c r="K1019" s="17" t="n">
        <v>1150.4</v>
      </c>
      <c r="L1019" s="15" t="n">
        <v>2</v>
      </c>
      <c r="M1019" s="18" t="n">
        <v>0</v>
      </c>
      <c r="N1019" s="17" t="n">
        <v>917.7</v>
      </c>
      <c r="O1019" s="17" t="n">
        <f aca="false">K1019*L1019*(1-M1019)</f>
        <v>2300.8</v>
      </c>
      <c r="P1019" s="17" t="n">
        <f aca="false">N1019*L1019</f>
        <v>1835.4</v>
      </c>
      <c r="Q1019" s="17" t="n">
        <f aca="false">O1019-P1019</f>
        <v>465.4</v>
      </c>
      <c r="R1019" s="15" t="s">
        <v>167</v>
      </c>
      <c r="S1019" s="15" t="s">
        <v>47</v>
      </c>
    </row>
    <row r="1020" customFormat="false" ht="15" hidden="false" customHeight="true" outlineLevel="0" collapsed="false">
      <c r="A1020" s="11" t="s">
        <v>1156</v>
      </c>
      <c r="B1020" s="12" t="n">
        <v>45980</v>
      </c>
      <c r="C1020" s="11" t="s">
        <v>65</v>
      </c>
      <c r="D1020" s="11" t="s">
        <v>66</v>
      </c>
      <c r="E1020" s="11" t="s">
        <v>67</v>
      </c>
      <c r="F1020" s="11" t="s">
        <v>109</v>
      </c>
      <c r="G1020" s="11" t="s">
        <v>42</v>
      </c>
      <c r="H1020" s="11" t="s">
        <v>84</v>
      </c>
      <c r="I1020" s="11" t="s">
        <v>85</v>
      </c>
      <c r="J1020" s="11" t="s">
        <v>90</v>
      </c>
      <c r="K1020" s="13" t="n">
        <v>598.55</v>
      </c>
      <c r="L1020" s="11" t="n">
        <v>15</v>
      </c>
      <c r="M1020" s="14" t="n">
        <v>0.1</v>
      </c>
      <c r="N1020" s="13" t="n">
        <v>440.11</v>
      </c>
      <c r="O1020" s="13" t="n">
        <f aca="false">K1020*L1020*(1-M1020)</f>
        <v>8080.425</v>
      </c>
      <c r="P1020" s="13" t="n">
        <f aca="false">N1020*L1020</f>
        <v>6601.65</v>
      </c>
      <c r="Q1020" s="13" t="n">
        <f aca="false">O1020-P1020</f>
        <v>1478.775</v>
      </c>
      <c r="R1020" s="11" t="s">
        <v>167</v>
      </c>
      <c r="S1020" s="11" t="s">
        <v>72</v>
      </c>
    </row>
    <row r="1021" customFormat="false" ht="15" hidden="false" customHeight="true" outlineLevel="0" collapsed="false">
      <c r="A1021" s="15" t="s">
        <v>1157</v>
      </c>
      <c r="B1021" s="16" t="n">
        <v>45980</v>
      </c>
      <c r="C1021" s="15" t="s">
        <v>38</v>
      </c>
      <c r="D1021" s="15" t="s">
        <v>92</v>
      </c>
      <c r="E1021" s="15" t="s">
        <v>93</v>
      </c>
      <c r="F1021" s="15" t="s">
        <v>99</v>
      </c>
      <c r="G1021" s="15" t="s">
        <v>42</v>
      </c>
      <c r="H1021" s="15" t="s">
        <v>43</v>
      </c>
      <c r="I1021" s="15" t="s">
        <v>61</v>
      </c>
      <c r="J1021" s="15" t="s">
        <v>147</v>
      </c>
      <c r="K1021" s="17" t="n">
        <v>381.94</v>
      </c>
      <c r="L1021" s="15" t="n">
        <v>43</v>
      </c>
      <c r="M1021" s="18" t="n">
        <v>0.1</v>
      </c>
      <c r="N1021" s="17" t="n">
        <v>152.84</v>
      </c>
      <c r="O1021" s="17" t="n">
        <f aca="false">K1021*L1021*(1-M1021)</f>
        <v>14781.078</v>
      </c>
      <c r="P1021" s="17" t="n">
        <f aca="false">N1021*L1021</f>
        <v>6572.12</v>
      </c>
      <c r="Q1021" s="17" t="n">
        <f aca="false">O1021-P1021</f>
        <v>8208.958</v>
      </c>
      <c r="R1021" s="15" t="s">
        <v>71</v>
      </c>
      <c r="S1021" s="15" t="s">
        <v>47</v>
      </c>
    </row>
    <row r="1022" customFormat="false" ht="15" hidden="false" customHeight="true" outlineLevel="0" collapsed="false">
      <c r="A1022" s="11" t="s">
        <v>1158</v>
      </c>
      <c r="B1022" s="12" t="n">
        <v>45980</v>
      </c>
      <c r="C1022" s="11" t="s">
        <v>65</v>
      </c>
      <c r="D1022" s="11" t="s">
        <v>82</v>
      </c>
      <c r="E1022" s="11" t="s">
        <v>83</v>
      </c>
      <c r="F1022" s="11" t="s">
        <v>123</v>
      </c>
      <c r="G1022" s="11" t="s">
        <v>52</v>
      </c>
      <c r="H1022" s="11" t="s">
        <v>78</v>
      </c>
      <c r="I1022" s="11" t="s">
        <v>154</v>
      </c>
      <c r="J1022" s="11" t="s">
        <v>186</v>
      </c>
      <c r="K1022" s="13" t="n">
        <v>1035.59</v>
      </c>
      <c r="L1022" s="11" t="n">
        <v>20</v>
      </c>
      <c r="M1022" s="14" t="n">
        <v>0.05</v>
      </c>
      <c r="N1022" s="13" t="n">
        <v>862.47</v>
      </c>
      <c r="O1022" s="13" t="n">
        <f aca="false">K1022*L1022*(1-M1022)</f>
        <v>19676.21</v>
      </c>
      <c r="P1022" s="13" t="n">
        <f aca="false">N1022*L1022</f>
        <v>17249.4</v>
      </c>
      <c r="Q1022" s="13" t="n">
        <f aca="false">O1022-P1022</f>
        <v>2426.81</v>
      </c>
      <c r="R1022" s="11" t="s">
        <v>46</v>
      </c>
      <c r="S1022" s="11" t="s">
        <v>47</v>
      </c>
    </row>
    <row r="1023" customFormat="false" ht="15" hidden="false" customHeight="true" outlineLevel="0" collapsed="false">
      <c r="A1023" s="15" t="s">
        <v>1159</v>
      </c>
      <c r="B1023" s="16" t="n">
        <v>45981</v>
      </c>
      <c r="C1023" s="15" t="s">
        <v>38</v>
      </c>
      <c r="D1023" s="15" t="s">
        <v>92</v>
      </c>
      <c r="E1023" s="15" t="s">
        <v>93</v>
      </c>
      <c r="F1023" s="15" t="s">
        <v>68</v>
      </c>
      <c r="G1023" s="15" t="s">
        <v>42</v>
      </c>
      <c r="H1023" s="15" t="s">
        <v>78</v>
      </c>
      <c r="I1023" s="15" t="s">
        <v>143</v>
      </c>
      <c r="J1023" s="15" t="s">
        <v>158</v>
      </c>
      <c r="K1023" s="17" t="n">
        <v>831.39</v>
      </c>
      <c r="L1023" s="15" t="n">
        <v>11</v>
      </c>
      <c r="M1023" s="18" t="n">
        <v>0</v>
      </c>
      <c r="N1023" s="17" t="n">
        <v>689.21</v>
      </c>
      <c r="O1023" s="17" t="n">
        <f aca="false">K1023*L1023*(1-M1023)</f>
        <v>9145.29</v>
      </c>
      <c r="P1023" s="17" t="n">
        <f aca="false">N1023*L1023</f>
        <v>7581.31</v>
      </c>
      <c r="Q1023" s="17" t="n">
        <f aca="false">O1023-P1023</f>
        <v>1563.98</v>
      </c>
      <c r="R1023" s="15" t="s">
        <v>63</v>
      </c>
      <c r="S1023" s="15" t="s">
        <v>187</v>
      </c>
    </row>
    <row r="1024" customFormat="false" ht="15" hidden="false" customHeight="true" outlineLevel="0" collapsed="false">
      <c r="A1024" s="11" t="s">
        <v>1160</v>
      </c>
      <c r="B1024" s="12" t="n">
        <v>45981</v>
      </c>
      <c r="C1024" s="11" t="s">
        <v>49</v>
      </c>
      <c r="D1024" s="11" t="s">
        <v>152</v>
      </c>
      <c r="E1024" s="11" t="s">
        <v>152</v>
      </c>
      <c r="F1024" s="11" t="s">
        <v>51</v>
      </c>
      <c r="G1024" s="11" t="s">
        <v>77</v>
      </c>
      <c r="H1024" s="11" t="s">
        <v>78</v>
      </c>
      <c r="I1024" s="11" t="s">
        <v>79</v>
      </c>
      <c r="J1024" s="11" t="s">
        <v>216</v>
      </c>
      <c r="K1024" s="13" t="n">
        <v>4352.09</v>
      </c>
      <c r="L1024" s="11" t="n">
        <v>3</v>
      </c>
      <c r="M1024" s="14" t="n">
        <v>0</v>
      </c>
      <c r="N1024" s="13" t="n">
        <v>3692.57</v>
      </c>
      <c r="O1024" s="13" t="n">
        <f aca="false">K1024*L1024*(1-M1024)</f>
        <v>13056.27</v>
      </c>
      <c r="P1024" s="13" t="n">
        <f aca="false">N1024*L1024</f>
        <v>11077.71</v>
      </c>
      <c r="Q1024" s="13" t="n">
        <f aca="false">O1024-P1024</f>
        <v>1978.56</v>
      </c>
      <c r="R1024" s="11" t="s">
        <v>46</v>
      </c>
      <c r="S1024" s="11" t="s">
        <v>47</v>
      </c>
    </row>
    <row r="1025" customFormat="false" ht="15" hidden="false" customHeight="true" outlineLevel="0" collapsed="false">
      <c r="A1025" s="15" t="s">
        <v>1161</v>
      </c>
      <c r="B1025" s="16" t="n">
        <v>45982</v>
      </c>
      <c r="C1025" s="15" t="s">
        <v>49</v>
      </c>
      <c r="D1025" s="15" t="s">
        <v>97</v>
      </c>
      <c r="E1025" s="15" t="s">
        <v>98</v>
      </c>
      <c r="F1025" s="15" t="s">
        <v>60</v>
      </c>
      <c r="G1025" s="15" t="s">
        <v>126</v>
      </c>
      <c r="H1025" s="15" t="s">
        <v>78</v>
      </c>
      <c r="I1025" s="15" t="s">
        <v>79</v>
      </c>
      <c r="J1025" s="15" t="s">
        <v>242</v>
      </c>
      <c r="K1025" s="17" t="n">
        <v>4462.32</v>
      </c>
      <c r="L1025" s="15" t="n">
        <v>5</v>
      </c>
      <c r="M1025" s="18" t="n">
        <v>0.2</v>
      </c>
      <c r="N1025" s="17" t="n">
        <v>3836.44</v>
      </c>
      <c r="O1025" s="17" t="n">
        <f aca="false">K1025*L1025*(1-M1025)</f>
        <v>17849.28</v>
      </c>
      <c r="P1025" s="17" t="n">
        <f aca="false">N1025*L1025</f>
        <v>19182.2</v>
      </c>
      <c r="Q1025" s="17" t="n">
        <f aca="false">O1025-P1025</f>
        <v>-1332.92</v>
      </c>
      <c r="R1025" s="15" t="s">
        <v>63</v>
      </c>
      <c r="S1025" s="15" t="s">
        <v>47</v>
      </c>
    </row>
    <row r="1026" customFormat="false" ht="15" hidden="false" customHeight="true" outlineLevel="0" collapsed="false">
      <c r="A1026" s="11" t="s">
        <v>1162</v>
      </c>
      <c r="B1026" s="12" t="n">
        <v>45982</v>
      </c>
      <c r="C1026" s="11" t="s">
        <v>49</v>
      </c>
      <c r="D1026" s="11" t="s">
        <v>152</v>
      </c>
      <c r="E1026" s="11" t="s">
        <v>152</v>
      </c>
      <c r="F1026" s="11" t="s">
        <v>123</v>
      </c>
      <c r="G1026" s="11" t="s">
        <v>42</v>
      </c>
      <c r="H1026" s="11" t="s">
        <v>78</v>
      </c>
      <c r="I1026" s="11" t="s">
        <v>154</v>
      </c>
      <c r="J1026" s="11" t="s">
        <v>186</v>
      </c>
      <c r="K1026" s="13" t="n">
        <v>946.68</v>
      </c>
      <c r="L1026" s="11" t="n">
        <v>3</v>
      </c>
      <c r="M1026" s="14" t="n">
        <v>0.05</v>
      </c>
      <c r="N1026" s="13" t="n">
        <v>797</v>
      </c>
      <c r="O1026" s="13" t="n">
        <f aca="false">K1026*L1026*(1-M1026)</f>
        <v>2698.038</v>
      </c>
      <c r="P1026" s="13" t="n">
        <f aca="false">N1026*L1026</f>
        <v>2391</v>
      </c>
      <c r="Q1026" s="13" t="n">
        <f aca="false">O1026-P1026</f>
        <v>307.038</v>
      </c>
      <c r="R1026" s="11" t="s">
        <v>46</v>
      </c>
      <c r="S1026" s="11" t="s">
        <v>47</v>
      </c>
    </row>
    <row r="1027" customFormat="false" ht="15" hidden="false" customHeight="true" outlineLevel="0" collapsed="false">
      <c r="A1027" s="15" t="s">
        <v>1163</v>
      </c>
      <c r="B1027" s="16" t="n">
        <v>45982</v>
      </c>
      <c r="C1027" s="15" t="s">
        <v>65</v>
      </c>
      <c r="D1027" s="15" t="s">
        <v>149</v>
      </c>
      <c r="E1027" s="15" t="s">
        <v>150</v>
      </c>
      <c r="F1027" s="15" t="s">
        <v>60</v>
      </c>
      <c r="G1027" s="15" t="s">
        <v>130</v>
      </c>
      <c r="H1027" s="15" t="s">
        <v>43</v>
      </c>
      <c r="I1027" s="15" t="s">
        <v>61</v>
      </c>
      <c r="J1027" s="15" t="s">
        <v>147</v>
      </c>
      <c r="K1027" s="17" t="n">
        <v>188.76</v>
      </c>
      <c r="L1027" s="15" t="n">
        <v>48</v>
      </c>
      <c r="M1027" s="18" t="n">
        <v>0.2</v>
      </c>
      <c r="N1027" s="17" t="n">
        <v>69.32</v>
      </c>
      <c r="O1027" s="17" t="n">
        <f aca="false">K1027*L1027*(1-M1027)</f>
        <v>7248.384</v>
      </c>
      <c r="P1027" s="17" t="n">
        <f aca="false">N1027*L1027</f>
        <v>3327.36</v>
      </c>
      <c r="Q1027" s="17" t="n">
        <f aca="false">O1027-P1027</f>
        <v>3921.024</v>
      </c>
      <c r="R1027" s="15" t="s">
        <v>63</v>
      </c>
      <c r="S1027" s="15" t="s">
        <v>47</v>
      </c>
    </row>
    <row r="1028" customFormat="false" ht="15" hidden="false" customHeight="true" outlineLevel="0" collapsed="false">
      <c r="A1028" s="11" t="s">
        <v>1164</v>
      </c>
      <c r="B1028" s="12" t="n">
        <v>45982</v>
      </c>
      <c r="C1028" s="11" t="s">
        <v>38</v>
      </c>
      <c r="D1028" s="11" t="s">
        <v>88</v>
      </c>
      <c r="E1028" s="11" t="s">
        <v>89</v>
      </c>
      <c r="F1028" s="11" t="s">
        <v>135</v>
      </c>
      <c r="G1028" s="11" t="s">
        <v>42</v>
      </c>
      <c r="H1028" s="11" t="s">
        <v>53</v>
      </c>
      <c r="I1028" s="11" t="s">
        <v>94</v>
      </c>
      <c r="J1028" s="11" t="s">
        <v>95</v>
      </c>
      <c r="K1028" s="13" t="n">
        <v>23.37</v>
      </c>
      <c r="L1028" s="11" t="n">
        <v>91</v>
      </c>
      <c r="M1028" s="14" t="n">
        <v>0.05</v>
      </c>
      <c r="N1028" s="13" t="n">
        <v>13.4</v>
      </c>
      <c r="O1028" s="13" t="n">
        <f aca="false">K1028*L1028*(1-M1028)</f>
        <v>2020.3365</v>
      </c>
      <c r="P1028" s="13" t="n">
        <f aca="false">N1028*L1028</f>
        <v>1219.4</v>
      </c>
      <c r="Q1028" s="13" t="n">
        <f aca="false">O1028-P1028</f>
        <v>800.9365</v>
      </c>
      <c r="R1028" s="11" t="s">
        <v>63</v>
      </c>
      <c r="S1028" s="11" t="s">
        <v>47</v>
      </c>
    </row>
    <row r="1029" customFormat="false" ht="15" hidden="false" customHeight="true" outlineLevel="0" collapsed="false">
      <c r="A1029" s="15" t="s">
        <v>1165</v>
      </c>
      <c r="B1029" s="16" t="n">
        <v>45983</v>
      </c>
      <c r="C1029" s="15" t="s">
        <v>65</v>
      </c>
      <c r="D1029" s="15" t="s">
        <v>116</v>
      </c>
      <c r="E1029" s="15" t="s">
        <v>117</v>
      </c>
      <c r="F1029" s="15" t="s">
        <v>68</v>
      </c>
      <c r="G1029" s="15" t="s">
        <v>52</v>
      </c>
      <c r="H1029" s="15" t="s">
        <v>84</v>
      </c>
      <c r="I1029" s="15" t="s">
        <v>85</v>
      </c>
      <c r="J1029" s="15" t="s">
        <v>86</v>
      </c>
      <c r="K1029" s="17" t="n">
        <v>295.49</v>
      </c>
      <c r="L1029" s="15" t="n">
        <v>8</v>
      </c>
      <c r="M1029" s="18" t="n">
        <v>0.1</v>
      </c>
      <c r="N1029" s="17" t="n">
        <v>213.48</v>
      </c>
      <c r="O1029" s="17" t="n">
        <f aca="false">K1029*L1029*(1-M1029)</f>
        <v>2127.528</v>
      </c>
      <c r="P1029" s="17" t="n">
        <f aca="false">N1029*L1029</f>
        <v>1707.84</v>
      </c>
      <c r="Q1029" s="17" t="n">
        <f aca="false">O1029-P1029</f>
        <v>419.688</v>
      </c>
      <c r="R1029" s="15" t="s">
        <v>46</v>
      </c>
      <c r="S1029" s="15" t="s">
        <v>47</v>
      </c>
    </row>
    <row r="1030" customFormat="false" ht="15" hidden="false" customHeight="true" outlineLevel="0" collapsed="false">
      <c r="A1030" s="11" t="s">
        <v>1166</v>
      </c>
      <c r="B1030" s="12" t="n">
        <v>45983</v>
      </c>
      <c r="C1030" s="11" t="s">
        <v>49</v>
      </c>
      <c r="D1030" s="11" t="s">
        <v>97</v>
      </c>
      <c r="E1030" s="11" t="s">
        <v>98</v>
      </c>
      <c r="F1030" s="11" t="s">
        <v>135</v>
      </c>
      <c r="G1030" s="11" t="s">
        <v>77</v>
      </c>
      <c r="H1030" s="11" t="s">
        <v>43</v>
      </c>
      <c r="I1030" s="11" t="s">
        <v>61</v>
      </c>
      <c r="J1030" s="11" t="s">
        <v>147</v>
      </c>
      <c r="K1030" s="13" t="n">
        <v>364.82</v>
      </c>
      <c r="L1030" s="11" t="n">
        <v>19</v>
      </c>
      <c r="M1030" s="14" t="n">
        <v>0.1</v>
      </c>
      <c r="N1030" s="13" t="n">
        <v>155.16</v>
      </c>
      <c r="O1030" s="13" t="n">
        <f aca="false">K1030*L1030*(1-M1030)</f>
        <v>6238.422</v>
      </c>
      <c r="P1030" s="13" t="n">
        <f aca="false">N1030*L1030</f>
        <v>2948.04</v>
      </c>
      <c r="Q1030" s="13" t="n">
        <f aca="false">O1030-P1030</f>
        <v>3290.382</v>
      </c>
      <c r="R1030" s="11" t="s">
        <v>63</v>
      </c>
      <c r="S1030" s="11" t="s">
        <v>47</v>
      </c>
    </row>
    <row r="1031" customFormat="false" ht="15" hidden="false" customHeight="true" outlineLevel="0" collapsed="false">
      <c r="A1031" s="15" t="s">
        <v>1167</v>
      </c>
      <c r="B1031" s="16" t="n">
        <v>45984</v>
      </c>
      <c r="C1031" s="15" t="s">
        <v>57</v>
      </c>
      <c r="D1031" s="15" t="s">
        <v>58</v>
      </c>
      <c r="E1031" s="15" t="s">
        <v>59</v>
      </c>
      <c r="F1031" s="15" t="s">
        <v>51</v>
      </c>
      <c r="G1031" s="15" t="s">
        <v>42</v>
      </c>
      <c r="H1031" s="15" t="s">
        <v>78</v>
      </c>
      <c r="I1031" s="15" t="s">
        <v>143</v>
      </c>
      <c r="J1031" s="15" t="s">
        <v>144</v>
      </c>
      <c r="K1031" s="17" t="n">
        <v>1200.72</v>
      </c>
      <c r="L1031" s="15" t="n">
        <v>18</v>
      </c>
      <c r="M1031" s="18" t="n">
        <v>0.05</v>
      </c>
      <c r="N1031" s="17" t="n">
        <v>954.75</v>
      </c>
      <c r="O1031" s="17" t="n">
        <f aca="false">K1031*L1031*(1-M1031)</f>
        <v>20532.312</v>
      </c>
      <c r="P1031" s="17" t="n">
        <f aca="false">N1031*L1031</f>
        <v>17185.5</v>
      </c>
      <c r="Q1031" s="17" t="n">
        <f aca="false">O1031-P1031</f>
        <v>3346.812</v>
      </c>
      <c r="R1031" s="15" t="s">
        <v>46</v>
      </c>
      <c r="S1031" s="15" t="s">
        <v>47</v>
      </c>
    </row>
    <row r="1032" customFormat="false" ht="15" hidden="false" customHeight="true" outlineLevel="0" collapsed="false">
      <c r="A1032" s="11" t="s">
        <v>1168</v>
      </c>
      <c r="B1032" s="12" t="n">
        <v>45986</v>
      </c>
      <c r="C1032" s="11" t="s">
        <v>74</v>
      </c>
      <c r="D1032" s="11" t="s">
        <v>75</v>
      </c>
      <c r="E1032" s="11" t="s">
        <v>76</v>
      </c>
      <c r="F1032" s="11" t="s">
        <v>41</v>
      </c>
      <c r="G1032" s="11" t="s">
        <v>126</v>
      </c>
      <c r="H1032" s="11" t="s">
        <v>53</v>
      </c>
      <c r="I1032" s="11" t="s">
        <v>94</v>
      </c>
      <c r="J1032" s="11" t="s">
        <v>95</v>
      </c>
      <c r="K1032" s="13" t="n">
        <v>37.61</v>
      </c>
      <c r="L1032" s="11" t="n">
        <v>107</v>
      </c>
      <c r="M1032" s="14" t="n">
        <v>0.05</v>
      </c>
      <c r="N1032" s="13" t="n">
        <v>25.61</v>
      </c>
      <c r="O1032" s="13" t="n">
        <f aca="false">K1032*L1032*(1-M1032)</f>
        <v>3823.0565</v>
      </c>
      <c r="P1032" s="13" t="n">
        <f aca="false">N1032*L1032</f>
        <v>2740.27</v>
      </c>
      <c r="Q1032" s="13" t="n">
        <f aca="false">O1032-P1032</f>
        <v>1082.7865</v>
      </c>
      <c r="R1032" s="11" t="s">
        <v>46</v>
      </c>
      <c r="S1032" s="11" t="s">
        <v>47</v>
      </c>
    </row>
    <row r="1033" customFormat="false" ht="15" hidden="false" customHeight="true" outlineLevel="0" collapsed="false">
      <c r="A1033" s="15" t="s">
        <v>1169</v>
      </c>
      <c r="B1033" s="16" t="n">
        <v>45986</v>
      </c>
      <c r="C1033" s="15" t="s">
        <v>65</v>
      </c>
      <c r="D1033" s="15" t="s">
        <v>82</v>
      </c>
      <c r="E1033" s="15" t="s">
        <v>83</v>
      </c>
      <c r="F1033" s="15" t="s">
        <v>118</v>
      </c>
      <c r="G1033" s="15" t="s">
        <v>52</v>
      </c>
      <c r="H1033" s="15" t="s">
        <v>84</v>
      </c>
      <c r="I1033" s="15" t="s">
        <v>85</v>
      </c>
      <c r="J1033" s="15" t="s">
        <v>90</v>
      </c>
      <c r="K1033" s="17" t="n">
        <v>571.88</v>
      </c>
      <c r="L1033" s="15" t="n">
        <v>16</v>
      </c>
      <c r="M1033" s="18" t="n">
        <v>0</v>
      </c>
      <c r="N1033" s="17" t="n">
        <v>423.84</v>
      </c>
      <c r="O1033" s="17" t="n">
        <f aca="false">K1033*L1033*(1-M1033)</f>
        <v>9150.08</v>
      </c>
      <c r="P1033" s="17" t="n">
        <f aca="false">N1033*L1033</f>
        <v>6781.44</v>
      </c>
      <c r="Q1033" s="17" t="n">
        <f aca="false">O1033-P1033</f>
        <v>2368.64</v>
      </c>
      <c r="R1033" s="15" t="s">
        <v>46</v>
      </c>
      <c r="S1033" s="15" t="s">
        <v>47</v>
      </c>
    </row>
    <row r="1034" customFormat="false" ht="15" hidden="false" customHeight="true" outlineLevel="0" collapsed="false">
      <c r="A1034" s="11" t="s">
        <v>1170</v>
      </c>
      <c r="B1034" s="12" t="n">
        <v>45986</v>
      </c>
      <c r="C1034" s="11" t="s">
        <v>38</v>
      </c>
      <c r="D1034" s="11" t="s">
        <v>39</v>
      </c>
      <c r="E1034" s="11" t="s">
        <v>40</v>
      </c>
      <c r="F1034" s="11" t="s">
        <v>109</v>
      </c>
      <c r="G1034" s="11" t="s">
        <v>52</v>
      </c>
      <c r="H1034" s="11" t="s">
        <v>78</v>
      </c>
      <c r="I1034" s="11" t="s">
        <v>154</v>
      </c>
      <c r="J1034" s="11" t="s">
        <v>155</v>
      </c>
      <c r="K1034" s="13" t="n">
        <v>635.6</v>
      </c>
      <c r="L1034" s="11" t="n">
        <v>5</v>
      </c>
      <c r="M1034" s="14" t="n">
        <v>0</v>
      </c>
      <c r="N1034" s="13" t="n">
        <v>502.81</v>
      </c>
      <c r="O1034" s="13" t="n">
        <f aca="false">K1034*L1034*(1-M1034)</f>
        <v>3178</v>
      </c>
      <c r="P1034" s="13" t="n">
        <f aca="false">N1034*L1034</f>
        <v>2514.05</v>
      </c>
      <c r="Q1034" s="13" t="n">
        <f aca="false">O1034-P1034</f>
        <v>663.95</v>
      </c>
      <c r="R1034" s="11" t="s">
        <v>63</v>
      </c>
      <c r="S1034" s="11" t="s">
        <v>72</v>
      </c>
    </row>
    <row r="1035" customFormat="false" ht="15" hidden="false" customHeight="true" outlineLevel="0" collapsed="false">
      <c r="A1035" s="15" t="s">
        <v>1171</v>
      </c>
      <c r="B1035" s="16" t="n">
        <v>45986</v>
      </c>
      <c r="C1035" s="15" t="s">
        <v>49</v>
      </c>
      <c r="D1035" s="15" t="s">
        <v>152</v>
      </c>
      <c r="E1035" s="15" t="s">
        <v>152</v>
      </c>
      <c r="F1035" s="15" t="s">
        <v>118</v>
      </c>
      <c r="G1035" s="15" t="s">
        <v>126</v>
      </c>
      <c r="H1035" s="15" t="s">
        <v>53</v>
      </c>
      <c r="I1035" s="15" t="s">
        <v>69</v>
      </c>
      <c r="J1035" s="15" t="s">
        <v>70</v>
      </c>
      <c r="K1035" s="17" t="n">
        <v>22.66</v>
      </c>
      <c r="L1035" s="15" t="n">
        <v>57</v>
      </c>
      <c r="M1035" s="18" t="n">
        <v>0.05</v>
      </c>
      <c r="N1035" s="17" t="n">
        <v>14.65</v>
      </c>
      <c r="O1035" s="17" t="n">
        <f aca="false">K1035*L1035*(1-M1035)</f>
        <v>1227.039</v>
      </c>
      <c r="P1035" s="17" t="n">
        <f aca="false">N1035*L1035</f>
        <v>835.05</v>
      </c>
      <c r="Q1035" s="17" t="n">
        <f aca="false">O1035-P1035</f>
        <v>391.989</v>
      </c>
      <c r="R1035" s="15" t="s">
        <v>71</v>
      </c>
      <c r="S1035" s="15" t="s">
        <v>47</v>
      </c>
    </row>
    <row r="1036" customFormat="false" ht="15" hidden="false" customHeight="true" outlineLevel="0" collapsed="false">
      <c r="A1036" s="11" t="s">
        <v>1172</v>
      </c>
      <c r="B1036" s="12" t="n">
        <v>45986</v>
      </c>
      <c r="C1036" s="11" t="s">
        <v>49</v>
      </c>
      <c r="D1036" s="11" t="s">
        <v>50</v>
      </c>
      <c r="E1036" s="11" t="s">
        <v>50</v>
      </c>
      <c r="F1036" s="11" t="s">
        <v>99</v>
      </c>
      <c r="G1036" s="11" t="s">
        <v>42</v>
      </c>
      <c r="H1036" s="11" t="s">
        <v>78</v>
      </c>
      <c r="I1036" s="11" t="s">
        <v>143</v>
      </c>
      <c r="J1036" s="11" t="s">
        <v>158</v>
      </c>
      <c r="K1036" s="13" t="n">
        <v>879.14</v>
      </c>
      <c r="L1036" s="11" t="n">
        <v>11</v>
      </c>
      <c r="M1036" s="14" t="n">
        <v>0</v>
      </c>
      <c r="N1036" s="13" t="n">
        <v>719.19</v>
      </c>
      <c r="O1036" s="13" t="n">
        <f aca="false">K1036*L1036*(1-M1036)</f>
        <v>9670.54</v>
      </c>
      <c r="P1036" s="13" t="n">
        <f aca="false">N1036*L1036</f>
        <v>7911.09</v>
      </c>
      <c r="Q1036" s="13" t="n">
        <f aca="false">O1036-P1036</f>
        <v>1759.45</v>
      </c>
      <c r="R1036" s="11" t="s">
        <v>114</v>
      </c>
      <c r="S1036" s="11" t="s">
        <v>47</v>
      </c>
    </row>
    <row r="1037" customFormat="false" ht="15" hidden="false" customHeight="true" outlineLevel="0" collapsed="false">
      <c r="A1037" s="15" t="s">
        <v>1173</v>
      </c>
      <c r="B1037" s="16" t="n">
        <v>45987</v>
      </c>
      <c r="C1037" s="15" t="s">
        <v>38</v>
      </c>
      <c r="D1037" s="15" t="s">
        <v>88</v>
      </c>
      <c r="E1037" s="15" t="s">
        <v>89</v>
      </c>
      <c r="F1037" s="15" t="s">
        <v>123</v>
      </c>
      <c r="G1037" s="15" t="s">
        <v>52</v>
      </c>
      <c r="H1037" s="15" t="s">
        <v>78</v>
      </c>
      <c r="I1037" s="15" t="s">
        <v>120</v>
      </c>
      <c r="J1037" s="15" t="s">
        <v>121</v>
      </c>
      <c r="K1037" s="17" t="n">
        <v>240.48</v>
      </c>
      <c r="L1037" s="15" t="n">
        <v>80</v>
      </c>
      <c r="M1037" s="18" t="n">
        <v>0.15</v>
      </c>
      <c r="N1037" s="17" t="n">
        <v>177.96</v>
      </c>
      <c r="O1037" s="17" t="n">
        <f aca="false">K1037*L1037*(1-M1037)</f>
        <v>16352.64</v>
      </c>
      <c r="P1037" s="17" t="n">
        <f aca="false">N1037*L1037</f>
        <v>14236.8</v>
      </c>
      <c r="Q1037" s="17" t="n">
        <f aca="false">O1037-P1037</f>
        <v>2115.84</v>
      </c>
      <c r="R1037" s="15" t="s">
        <v>63</v>
      </c>
      <c r="S1037" s="15" t="s">
        <v>47</v>
      </c>
    </row>
    <row r="1038" customFormat="false" ht="15" hidden="false" customHeight="true" outlineLevel="0" collapsed="false">
      <c r="A1038" s="11" t="s">
        <v>1174</v>
      </c>
      <c r="B1038" s="12" t="n">
        <v>45987</v>
      </c>
      <c r="C1038" s="11" t="s">
        <v>65</v>
      </c>
      <c r="D1038" s="11" t="s">
        <v>149</v>
      </c>
      <c r="E1038" s="11" t="s">
        <v>150</v>
      </c>
      <c r="F1038" s="11" t="s">
        <v>41</v>
      </c>
      <c r="G1038" s="11" t="s">
        <v>52</v>
      </c>
      <c r="H1038" s="11" t="s">
        <v>78</v>
      </c>
      <c r="I1038" s="11" t="s">
        <v>143</v>
      </c>
      <c r="J1038" s="11" t="s">
        <v>158</v>
      </c>
      <c r="K1038" s="13" t="n">
        <v>863.55</v>
      </c>
      <c r="L1038" s="11" t="n">
        <v>19</v>
      </c>
      <c r="M1038" s="14" t="n">
        <v>0</v>
      </c>
      <c r="N1038" s="13" t="n">
        <v>737.34</v>
      </c>
      <c r="O1038" s="13" t="n">
        <f aca="false">K1038*L1038*(1-M1038)</f>
        <v>16407.45</v>
      </c>
      <c r="P1038" s="13" t="n">
        <f aca="false">N1038*L1038</f>
        <v>14009.46</v>
      </c>
      <c r="Q1038" s="13" t="n">
        <f aca="false">O1038-P1038</f>
        <v>2397.99</v>
      </c>
      <c r="R1038" s="11" t="s">
        <v>71</v>
      </c>
      <c r="S1038" s="11" t="s">
        <v>124</v>
      </c>
    </row>
    <row r="1039" customFormat="false" ht="15" hidden="false" customHeight="true" outlineLevel="0" collapsed="false">
      <c r="A1039" s="15" t="s">
        <v>1175</v>
      </c>
      <c r="B1039" s="16" t="n">
        <v>45987</v>
      </c>
      <c r="C1039" s="15" t="s">
        <v>49</v>
      </c>
      <c r="D1039" s="15" t="s">
        <v>97</v>
      </c>
      <c r="E1039" s="15" t="s">
        <v>98</v>
      </c>
      <c r="F1039" s="15" t="s">
        <v>60</v>
      </c>
      <c r="G1039" s="15" t="s">
        <v>77</v>
      </c>
      <c r="H1039" s="15" t="s">
        <v>53</v>
      </c>
      <c r="I1039" s="15" t="s">
        <v>69</v>
      </c>
      <c r="J1039" s="15" t="s">
        <v>70</v>
      </c>
      <c r="K1039" s="17" t="n">
        <v>23.31</v>
      </c>
      <c r="L1039" s="15" t="n">
        <v>12</v>
      </c>
      <c r="M1039" s="18" t="n">
        <v>0.05</v>
      </c>
      <c r="N1039" s="17" t="n">
        <v>17.22</v>
      </c>
      <c r="O1039" s="17" t="n">
        <f aca="false">K1039*L1039*(1-M1039)</f>
        <v>265.734</v>
      </c>
      <c r="P1039" s="17" t="n">
        <f aca="false">N1039*L1039</f>
        <v>206.64</v>
      </c>
      <c r="Q1039" s="17" t="n">
        <f aca="false">O1039-P1039</f>
        <v>59.094</v>
      </c>
      <c r="R1039" s="15" t="s">
        <v>167</v>
      </c>
      <c r="S1039" s="15" t="s">
        <v>47</v>
      </c>
    </row>
    <row r="1040" customFormat="false" ht="15" hidden="false" customHeight="true" outlineLevel="0" collapsed="false">
      <c r="A1040" s="11" t="s">
        <v>1176</v>
      </c>
      <c r="B1040" s="12" t="n">
        <v>45987</v>
      </c>
      <c r="C1040" s="11" t="s">
        <v>38</v>
      </c>
      <c r="D1040" s="11" t="s">
        <v>88</v>
      </c>
      <c r="E1040" s="11" t="s">
        <v>89</v>
      </c>
      <c r="F1040" s="11" t="s">
        <v>135</v>
      </c>
      <c r="G1040" s="11" t="s">
        <v>52</v>
      </c>
      <c r="H1040" s="11" t="s">
        <v>43</v>
      </c>
      <c r="I1040" s="11" t="s">
        <v>61</v>
      </c>
      <c r="J1040" s="11" t="s">
        <v>62</v>
      </c>
      <c r="K1040" s="13" t="n">
        <v>499.82</v>
      </c>
      <c r="L1040" s="11" t="n">
        <v>4</v>
      </c>
      <c r="M1040" s="14" t="n">
        <v>0.05</v>
      </c>
      <c r="N1040" s="13" t="n">
        <v>159.1</v>
      </c>
      <c r="O1040" s="13" t="n">
        <f aca="false">K1040*L1040*(1-M1040)</f>
        <v>1899.316</v>
      </c>
      <c r="P1040" s="13" t="n">
        <f aca="false">N1040*L1040</f>
        <v>636.4</v>
      </c>
      <c r="Q1040" s="13" t="n">
        <f aca="false">O1040-P1040</f>
        <v>1262.916</v>
      </c>
      <c r="R1040" s="11" t="s">
        <v>167</v>
      </c>
      <c r="S1040" s="11" t="s">
        <v>47</v>
      </c>
    </row>
    <row r="1041" customFormat="false" ht="15" hidden="false" customHeight="true" outlineLevel="0" collapsed="false">
      <c r="A1041" s="15" t="s">
        <v>1177</v>
      </c>
      <c r="B1041" s="16" t="n">
        <v>45988</v>
      </c>
      <c r="C1041" s="15" t="s">
        <v>49</v>
      </c>
      <c r="D1041" s="15" t="s">
        <v>152</v>
      </c>
      <c r="E1041" s="15" t="s">
        <v>152</v>
      </c>
      <c r="F1041" s="15" t="s">
        <v>118</v>
      </c>
      <c r="G1041" s="15" t="s">
        <v>126</v>
      </c>
      <c r="H1041" s="15" t="s">
        <v>78</v>
      </c>
      <c r="I1041" s="15" t="s">
        <v>120</v>
      </c>
      <c r="J1041" s="15" t="s">
        <v>121</v>
      </c>
      <c r="K1041" s="17" t="n">
        <v>292.46</v>
      </c>
      <c r="L1041" s="15" t="n">
        <v>19</v>
      </c>
      <c r="M1041" s="18" t="n">
        <v>0.1</v>
      </c>
      <c r="N1041" s="17" t="n">
        <v>221.8</v>
      </c>
      <c r="O1041" s="17" t="n">
        <f aca="false">K1041*L1041*(1-M1041)</f>
        <v>5001.066</v>
      </c>
      <c r="P1041" s="17" t="n">
        <f aca="false">N1041*L1041</f>
        <v>4214.2</v>
      </c>
      <c r="Q1041" s="17" t="n">
        <f aca="false">O1041-P1041</f>
        <v>786.866</v>
      </c>
      <c r="R1041" s="15" t="s">
        <v>63</v>
      </c>
      <c r="S1041" s="15" t="s">
        <v>47</v>
      </c>
    </row>
    <row r="1042" customFormat="false" ht="15" hidden="false" customHeight="true" outlineLevel="0" collapsed="false">
      <c r="A1042" s="11" t="s">
        <v>1178</v>
      </c>
      <c r="B1042" s="12" t="n">
        <v>45989</v>
      </c>
      <c r="C1042" s="11" t="s">
        <v>49</v>
      </c>
      <c r="D1042" s="11" t="s">
        <v>97</v>
      </c>
      <c r="E1042" s="11" t="s">
        <v>98</v>
      </c>
      <c r="F1042" s="11" t="s">
        <v>109</v>
      </c>
      <c r="G1042" s="11" t="s">
        <v>77</v>
      </c>
      <c r="H1042" s="11" t="s">
        <v>43</v>
      </c>
      <c r="I1042" s="11" t="s">
        <v>44</v>
      </c>
      <c r="J1042" s="11" t="s">
        <v>106</v>
      </c>
      <c r="K1042" s="13" t="n">
        <v>435.68</v>
      </c>
      <c r="L1042" s="11" t="n">
        <v>33</v>
      </c>
      <c r="M1042" s="14" t="n">
        <v>0</v>
      </c>
      <c r="N1042" s="13" t="n">
        <v>131.44</v>
      </c>
      <c r="O1042" s="13" t="n">
        <f aca="false">K1042*L1042*(1-M1042)</f>
        <v>14377.44</v>
      </c>
      <c r="P1042" s="13" t="n">
        <f aca="false">N1042*L1042</f>
        <v>4337.52</v>
      </c>
      <c r="Q1042" s="13" t="n">
        <f aca="false">O1042-P1042</f>
        <v>10039.92</v>
      </c>
      <c r="R1042" s="11" t="s">
        <v>46</v>
      </c>
      <c r="S1042" s="11" t="s">
        <v>47</v>
      </c>
    </row>
    <row r="1043" customFormat="false" ht="15" hidden="false" customHeight="true" outlineLevel="0" collapsed="false">
      <c r="A1043" s="15" t="s">
        <v>1179</v>
      </c>
      <c r="B1043" s="16" t="n">
        <v>45989</v>
      </c>
      <c r="C1043" s="15" t="s">
        <v>38</v>
      </c>
      <c r="D1043" s="15" t="s">
        <v>39</v>
      </c>
      <c r="E1043" s="15" t="s">
        <v>40</v>
      </c>
      <c r="F1043" s="15" t="s">
        <v>177</v>
      </c>
      <c r="G1043" s="15" t="s">
        <v>42</v>
      </c>
      <c r="H1043" s="15" t="s">
        <v>84</v>
      </c>
      <c r="I1043" s="15" t="s">
        <v>85</v>
      </c>
      <c r="J1043" s="15" t="s">
        <v>86</v>
      </c>
      <c r="K1043" s="17" t="n">
        <v>430.04</v>
      </c>
      <c r="L1043" s="15" t="n">
        <v>5</v>
      </c>
      <c r="M1043" s="18" t="n">
        <v>0</v>
      </c>
      <c r="N1043" s="17" t="n">
        <v>316.52</v>
      </c>
      <c r="O1043" s="17" t="n">
        <f aca="false">K1043*L1043*(1-M1043)</f>
        <v>2150.2</v>
      </c>
      <c r="P1043" s="17" t="n">
        <f aca="false">N1043*L1043</f>
        <v>1582.6</v>
      </c>
      <c r="Q1043" s="17" t="n">
        <f aca="false">O1043-P1043</f>
        <v>567.6</v>
      </c>
      <c r="R1043" s="15" t="s">
        <v>167</v>
      </c>
      <c r="S1043" s="15" t="s">
        <v>47</v>
      </c>
    </row>
    <row r="1044" customFormat="false" ht="15" hidden="false" customHeight="true" outlineLevel="0" collapsed="false">
      <c r="A1044" s="11" t="s">
        <v>1180</v>
      </c>
      <c r="B1044" s="12" t="n">
        <v>45989</v>
      </c>
      <c r="C1044" s="11" t="s">
        <v>57</v>
      </c>
      <c r="D1044" s="11" t="s">
        <v>103</v>
      </c>
      <c r="E1044" s="11" t="s">
        <v>104</v>
      </c>
      <c r="F1044" s="11" t="s">
        <v>99</v>
      </c>
      <c r="G1044" s="11" t="s">
        <v>77</v>
      </c>
      <c r="H1044" s="11" t="s">
        <v>53</v>
      </c>
      <c r="I1044" s="11" t="s">
        <v>69</v>
      </c>
      <c r="J1044" s="11" t="s">
        <v>128</v>
      </c>
      <c r="K1044" s="13" t="n">
        <v>16.91</v>
      </c>
      <c r="L1044" s="11" t="n">
        <v>145</v>
      </c>
      <c r="M1044" s="14" t="n">
        <v>0</v>
      </c>
      <c r="N1044" s="13" t="n">
        <v>10.81</v>
      </c>
      <c r="O1044" s="13" t="n">
        <f aca="false">K1044*L1044*(1-M1044)</f>
        <v>2451.95</v>
      </c>
      <c r="P1044" s="13" t="n">
        <f aca="false">N1044*L1044</f>
        <v>1567.45</v>
      </c>
      <c r="Q1044" s="13" t="n">
        <f aca="false">O1044-P1044</f>
        <v>884.5</v>
      </c>
      <c r="R1044" s="11" t="s">
        <v>46</v>
      </c>
      <c r="S1044" s="11" t="s">
        <v>124</v>
      </c>
    </row>
    <row r="1045" customFormat="false" ht="15" hidden="false" customHeight="true" outlineLevel="0" collapsed="false">
      <c r="A1045" s="15" t="s">
        <v>1181</v>
      </c>
      <c r="B1045" s="16" t="n">
        <v>45990</v>
      </c>
      <c r="C1045" s="15" t="s">
        <v>74</v>
      </c>
      <c r="D1045" s="15" t="s">
        <v>171</v>
      </c>
      <c r="E1045" s="15" t="s">
        <v>172</v>
      </c>
      <c r="F1045" s="15" t="s">
        <v>118</v>
      </c>
      <c r="G1045" s="15" t="s">
        <v>126</v>
      </c>
      <c r="H1045" s="15" t="s">
        <v>78</v>
      </c>
      <c r="I1045" s="15" t="s">
        <v>154</v>
      </c>
      <c r="J1045" s="15" t="s">
        <v>155</v>
      </c>
      <c r="K1045" s="17" t="n">
        <v>623.43</v>
      </c>
      <c r="L1045" s="15" t="n">
        <v>13</v>
      </c>
      <c r="M1045" s="18" t="n">
        <v>0.15</v>
      </c>
      <c r="N1045" s="17" t="n">
        <v>509.17</v>
      </c>
      <c r="O1045" s="17" t="n">
        <f aca="false">K1045*L1045*(1-M1045)</f>
        <v>6888.9015</v>
      </c>
      <c r="P1045" s="17" t="n">
        <f aca="false">N1045*L1045</f>
        <v>6619.21</v>
      </c>
      <c r="Q1045" s="17" t="n">
        <f aca="false">O1045-P1045</f>
        <v>269.691499999999</v>
      </c>
      <c r="R1045" s="15" t="s">
        <v>46</v>
      </c>
      <c r="S1045" s="15" t="s">
        <v>47</v>
      </c>
    </row>
    <row r="1046" customFormat="false" ht="15" hidden="false" customHeight="true" outlineLevel="0" collapsed="false">
      <c r="A1046" s="11" t="s">
        <v>1182</v>
      </c>
      <c r="B1046" s="12" t="n">
        <v>45990</v>
      </c>
      <c r="C1046" s="11" t="s">
        <v>38</v>
      </c>
      <c r="D1046" s="11" t="s">
        <v>88</v>
      </c>
      <c r="E1046" s="11" t="s">
        <v>89</v>
      </c>
      <c r="F1046" s="11" t="s">
        <v>51</v>
      </c>
      <c r="G1046" s="11" t="s">
        <v>42</v>
      </c>
      <c r="H1046" s="11" t="s">
        <v>78</v>
      </c>
      <c r="I1046" s="11" t="s">
        <v>120</v>
      </c>
      <c r="J1046" s="11" t="s">
        <v>121</v>
      </c>
      <c r="K1046" s="13" t="n">
        <v>307.86</v>
      </c>
      <c r="L1046" s="11" t="n">
        <v>11</v>
      </c>
      <c r="M1046" s="14" t="n">
        <v>0</v>
      </c>
      <c r="N1046" s="13" t="n">
        <v>225.41</v>
      </c>
      <c r="O1046" s="13" t="n">
        <f aca="false">K1046*L1046*(1-M1046)</f>
        <v>3386.46</v>
      </c>
      <c r="P1046" s="13" t="n">
        <f aca="false">N1046*L1046</f>
        <v>2479.51</v>
      </c>
      <c r="Q1046" s="13" t="n">
        <f aca="false">O1046-P1046</f>
        <v>906.95</v>
      </c>
      <c r="R1046" s="11" t="s">
        <v>46</v>
      </c>
      <c r="S1046" s="11" t="s">
        <v>47</v>
      </c>
    </row>
    <row r="1047" customFormat="false" ht="15" hidden="false" customHeight="true" outlineLevel="0" collapsed="false">
      <c r="A1047" s="15" t="s">
        <v>1183</v>
      </c>
      <c r="B1047" s="16" t="n">
        <v>45991</v>
      </c>
      <c r="C1047" s="15" t="s">
        <v>74</v>
      </c>
      <c r="D1047" s="15" t="s">
        <v>171</v>
      </c>
      <c r="E1047" s="15" t="s">
        <v>172</v>
      </c>
      <c r="F1047" s="15" t="s">
        <v>41</v>
      </c>
      <c r="G1047" s="15" t="s">
        <v>42</v>
      </c>
      <c r="H1047" s="15" t="s">
        <v>78</v>
      </c>
      <c r="I1047" s="15" t="s">
        <v>120</v>
      </c>
      <c r="J1047" s="15" t="s">
        <v>232</v>
      </c>
      <c r="K1047" s="17" t="n">
        <v>358.2</v>
      </c>
      <c r="L1047" s="15" t="n">
        <v>36</v>
      </c>
      <c r="M1047" s="18" t="n">
        <v>0.1</v>
      </c>
      <c r="N1047" s="17" t="n">
        <v>257.64</v>
      </c>
      <c r="O1047" s="17" t="n">
        <f aca="false">K1047*L1047*(1-M1047)</f>
        <v>11605.68</v>
      </c>
      <c r="P1047" s="17" t="n">
        <f aca="false">N1047*L1047</f>
        <v>9275.04</v>
      </c>
      <c r="Q1047" s="17" t="n">
        <f aca="false">O1047-P1047</f>
        <v>2330.64</v>
      </c>
      <c r="R1047" s="15" t="s">
        <v>63</v>
      </c>
      <c r="S1047" s="15" t="s">
        <v>72</v>
      </c>
    </row>
    <row r="1048" customFormat="false" ht="15" hidden="false" customHeight="true" outlineLevel="0" collapsed="false">
      <c r="A1048" s="11" t="s">
        <v>1184</v>
      </c>
      <c r="B1048" s="12" t="n">
        <v>45992</v>
      </c>
      <c r="C1048" s="11" t="s">
        <v>49</v>
      </c>
      <c r="D1048" s="11" t="s">
        <v>50</v>
      </c>
      <c r="E1048" s="11" t="s">
        <v>50</v>
      </c>
      <c r="F1048" s="11" t="s">
        <v>99</v>
      </c>
      <c r="G1048" s="11" t="s">
        <v>42</v>
      </c>
      <c r="H1048" s="11" t="s">
        <v>53</v>
      </c>
      <c r="I1048" s="11" t="s">
        <v>94</v>
      </c>
      <c r="J1048" s="11" t="s">
        <v>95</v>
      </c>
      <c r="K1048" s="13" t="n">
        <v>30.14</v>
      </c>
      <c r="L1048" s="11" t="n">
        <v>48</v>
      </c>
      <c r="M1048" s="14" t="n">
        <v>0</v>
      </c>
      <c r="N1048" s="13" t="n">
        <v>18.48</v>
      </c>
      <c r="O1048" s="13" t="n">
        <f aca="false">K1048*L1048*(1-M1048)</f>
        <v>1446.72</v>
      </c>
      <c r="P1048" s="13" t="n">
        <f aca="false">N1048*L1048</f>
        <v>887.04</v>
      </c>
      <c r="Q1048" s="13" t="n">
        <f aca="false">O1048-P1048</f>
        <v>559.68</v>
      </c>
      <c r="R1048" s="11" t="s">
        <v>63</v>
      </c>
      <c r="S1048" s="11" t="s">
        <v>47</v>
      </c>
    </row>
    <row r="1049" customFormat="false" ht="15" hidden="false" customHeight="true" outlineLevel="0" collapsed="false">
      <c r="A1049" s="15" t="s">
        <v>1185</v>
      </c>
      <c r="B1049" s="16" t="n">
        <v>45992</v>
      </c>
      <c r="C1049" s="15" t="s">
        <v>38</v>
      </c>
      <c r="D1049" s="15" t="s">
        <v>92</v>
      </c>
      <c r="E1049" s="15" t="s">
        <v>93</v>
      </c>
      <c r="F1049" s="15" t="s">
        <v>109</v>
      </c>
      <c r="G1049" s="15" t="s">
        <v>130</v>
      </c>
      <c r="H1049" s="15" t="s">
        <v>84</v>
      </c>
      <c r="I1049" s="15" t="s">
        <v>100</v>
      </c>
      <c r="J1049" s="15" t="s">
        <v>139</v>
      </c>
      <c r="K1049" s="17" t="n">
        <v>816.84</v>
      </c>
      <c r="L1049" s="15" t="n">
        <v>16</v>
      </c>
      <c r="M1049" s="18" t="n">
        <v>0</v>
      </c>
      <c r="N1049" s="17" t="n">
        <v>623.16</v>
      </c>
      <c r="O1049" s="17" t="n">
        <f aca="false">K1049*L1049*(1-M1049)</f>
        <v>13069.44</v>
      </c>
      <c r="P1049" s="17" t="n">
        <f aca="false">N1049*L1049</f>
        <v>9970.56</v>
      </c>
      <c r="Q1049" s="17" t="n">
        <f aca="false">O1049-P1049</f>
        <v>3098.88</v>
      </c>
      <c r="R1049" s="15" t="s">
        <v>63</v>
      </c>
      <c r="S1049" s="15" t="s">
        <v>47</v>
      </c>
    </row>
    <row r="1050" customFormat="false" ht="15" hidden="false" customHeight="true" outlineLevel="0" collapsed="false">
      <c r="A1050" s="11" t="s">
        <v>1186</v>
      </c>
      <c r="B1050" s="12" t="n">
        <v>45993</v>
      </c>
      <c r="C1050" s="11" t="s">
        <v>65</v>
      </c>
      <c r="D1050" s="11" t="s">
        <v>149</v>
      </c>
      <c r="E1050" s="11" t="s">
        <v>150</v>
      </c>
      <c r="F1050" s="11" t="s">
        <v>41</v>
      </c>
      <c r="G1050" s="11" t="s">
        <v>52</v>
      </c>
      <c r="H1050" s="11" t="s">
        <v>43</v>
      </c>
      <c r="I1050" s="11" t="s">
        <v>61</v>
      </c>
      <c r="J1050" s="11" t="s">
        <v>147</v>
      </c>
      <c r="K1050" s="13" t="n">
        <v>398.76</v>
      </c>
      <c r="L1050" s="11" t="n">
        <v>46</v>
      </c>
      <c r="M1050" s="14" t="n">
        <v>0.1</v>
      </c>
      <c r="N1050" s="13" t="n">
        <v>143.09</v>
      </c>
      <c r="O1050" s="13" t="n">
        <f aca="false">K1050*L1050*(1-M1050)</f>
        <v>16508.664</v>
      </c>
      <c r="P1050" s="13" t="n">
        <f aca="false">N1050*L1050</f>
        <v>6582.14</v>
      </c>
      <c r="Q1050" s="13" t="n">
        <f aca="false">O1050-P1050</f>
        <v>9926.524</v>
      </c>
      <c r="R1050" s="11" t="s">
        <v>63</v>
      </c>
      <c r="S1050" s="11" t="s">
        <v>47</v>
      </c>
    </row>
    <row r="1051" customFormat="false" ht="15" hidden="false" customHeight="true" outlineLevel="0" collapsed="false">
      <c r="A1051" s="15" t="s">
        <v>1187</v>
      </c>
      <c r="B1051" s="16" t="n">
        <v>45993</v>
      </c>
      <c r="C1051" s="15" t="s">
        <v>65</v>
      </c>
      <c r="D1051" s="15" t="s">
        <v>82</v>
      </c>
      <c r="E1051" s="15" t="s">
        <v>83</v>
      </c>
      <c r="F1051" s="15" t="s">
        <v>177</v>
      </c>
      <c r="G1051" s="15" t="s">
        <v>77</v>
      </c>
      <c r="H1051" s="15" t="s">
        <v>53</v>
      </c>
      <c r="I1051" s="15" t="s">
        <v>69</v>
      </c>
      <c r="J1051" s="15" t="s">
        <v>70</v>
      </c>
      <c r="K1051" s="17" t="n">
        <v>33.12</v>
      </c>
      <c r="L1051" s="15" t="n">
        <v>42</v>
      </c>
      <c r="M1051" s="18" t="n">
        <v>0</v>
      </c>
      <c r="N1051" s="17" t="n">
        <v>23.38</v>
      </c>
      <c r="O1051" s="17" t="n">
        <f aca="false">K1051*L1051*(1-M1051)</f>
        <v>1391.04</v>
      </c>
      <c r="P1051" s="17" t="n">
        <f aca="false">N1051*L1051</f>
        <v>981.96</v>
      </c>
      <c r="Q1051" s="17" t="n">
        <f aca="false">O1051-P1051</f>
        <v>409.08</v>
      </c>
      <c r="R1051" s="15" t="s">
        <v>63</v>
      </c>
      <c r="S1051" s="15" t="s">
        <v>47</v>
      </c>
    </row>
    <row r="1052" customFormat="false" ht="15" hidden="false" customHeight="true" outlineLevel="0" collapsed="false">
      <c r="A1052" s="11" t="s">
        <v>1188</v>
      </c>
      <c r="B1052" s="12" t="n">
        <v>45993</v>
      </c>
      <c r="C1052" s="11" t="s">
        <v>49</v>
      </c>
      <c r="D1052" s="11" t="s">
        <v>97</v>
      </c>
      <c r="E1052" s="11" t="s">
        <v>108</v>
      </c>
      <c r="F1052" s="11" t="s">
        <v>60</v>
      </c>
      <c r="G1052" s="11" t="s">
        <v>77</v>
      </c>
      <c r="H1052" s="11" t="s">
        <v>78</v>
      </c>
      <c r="I1052" s="11" t="s">
        <v>154</v>
      </c>
      <c r="J1052" s="11" t="s">
        <v>186</v>
      </c>
      <c r="K1052" s="13" t="n">
        <v>539.73</v>
      </c>
      <c r="L1052" s="11" t="n">
        <v>4</v>
      </c>
      <c r="M1052" s="14" t="n">
        <v>0.05</v>
      </c>
      <c r="N1052" s="13" t="n">
        <v>453.33</v>
      </c>
      <c r="O1052" s="13" t="n">
        <f aca="false">K1052*L1052*(1-M1052)</f>
        <v>2050.974</v>
      </c>
      <c r="P1052" s="13" t="n">
        <f aca="false">N1052*L1052</f>
        <v>1813.32</v>
      </c>
      <c r="Q1052" s="13" t="n">
        <f aca="false">O1052-P1052</f>
        <v>237.654</v>
      </c>
      <c r="R1052" s="11" t="s">
        <v>46</v>
      </c>
      <c r="S1052" s="11" t="s">
        <v>124</v>
      </c>
    </row>
    <row r="1053" customFormat="false" ht="15" hidden="false" customHeight="true" outlineLevel="0" collapsed="false">
      <c r="A1053" s="15" t="s">
        <v>1189</v>
      </c>
      <c r="B1053" s="16" t="n">
        <v>45994</v>
      </c>
      <c r="C1053" s="15" t="s">
        <v>49</v>
      </c>
      <c r="D1053" s="15" t="s">
        <v>50</v>
      </c>
      <c r="E1053" s="15" t="s">
        <v>50</v>
      </c>
      <c r="F1053" s="15" t="s">
        <v>41</v>
      </c>
      <c r="G1053" s="15" t="s">
        <v>52</v>
      </c>
      <c r="H1053" s="15" t="s">
        <v>78</v>
      </c>
      <c r="I1053" s="15" t="s">
        <v>120</v>
      </c>
      <c r="J1053" s="15" t="s">
        <v>232</v>
      </c>
      <c r="K1053" s="17" t="n">
        <v>279.23</v>
      </c>
      <c r="L1053" s="15" t="n">
        <v>31</v>
      </c>
      <c r="M1053" s="18" t="n">
        <v>0.1</v>
      </c>
      <c r="N1053" s="17" t="n">
        <v>208.21</v>
      </c>
      <c r="O1053" s="17" t="n">
        <f aca="false">K1053*L1053*(1-M1053)</f>
        <v>7790.517</v>
      </c>
      <c r="P1053" s="17" t="n">
        <f aca="false">N1053*L1053</f>
        <v>6454.51</v>
      </c>
      <c r="Q1053" s="17" t="n">
        <f aca="false">O1053-P1053</f>
        <v>1336.007</v>
      </c>
      <c r="R1053" s="15" t="s">
        <v>167</v>
      </c>
      <c r="S1053" s="15" t="s">
        <v>47</v>
      </c>
    </row>
    <row r="1054" customFormat="false" ht="15" hidden="false" customHeight="true" outlineLevel="0" collapsed="false">
      <c r="A1054" s="11" t="s">
        <v>1190</v>
      </c>
      <c r="B1054" s="12" t="n">
        <v>45995</v>
      </c>
      <c r="C1054" s="11" t="s">
        <v>49</v>
      </c>
      <c r="D1054" s="11" t="s">
        <v>50</v>
      </c>
      <c r="E1054" s="11" t="s">
        <v>50</v>
      </c>
      <c r="F1054" s="11" t="s">
        <v>99</v>
      </c>
      <c r="G1054" s="11" t="s">
        <v>52</v>
      </c>
      <c r="H1054" s="11" t="s">
        <v>78</v>
      </c>
      <c r="I1054" s="11" t="s">
        <v>154</v>
      </c>
      <c r="J1054" s="11" t="s">
        <v>155</v>
      </c>
      <c r="K1054" s="13" t="n">
        <v>626.31</v>
      </c>
      <c r="L1054" s="11" t="n">
        <v>8</v>
      </c>
      <c r="M1054" s="14" t="n">
        <v>0</v>
      </c>
      <c r="N1054" s="13" t="n">
        <v>518.77</v>
      </c>
      <c r="O1054" s="13" t="n">
        <f aca="false">K1054*L1054*(1-M1054)</f>
        <v>5010.48</v>
      </c>
      <c r="P1054" s="13" t="n">
        <f aca="false">N1054*L1054</f>
        <v>4150.16</v>
      </c>
      <c r="Q1054" s="13" t="n">
        <f aca="false">O1054-P1054</f>
        <v>860.32</v>
      </c>
      <c r="R1054" s="11" t="s">
        <v>114</v>
      </c>
      <c r="S1054" s="11" t="s">
        <v>187</v>
      </c>
    </row>
    <row r="1055" customFormat="false" ht="15" hidden="false" customHeight="true" outlineLevel="0" collapsed="false">
      <c r="A1055" s="15" t="s">
        <v>1191</v>
      </c>
      <c r="B1055" s="16" t="n">
        <v>45995</v>
      </c>
      <c r="C1055" s="15" t="s">
        <v>49</v>
      </c>
      <c r="D1055" s="15" t="s">
        <v>152</v>
      </c>
      <c r="E1055" s="15" t="s">
        <v>152</v>
      </c>
      <c r="F1055" s="15" t="s">
        <v>135</v>
      </c>
      <c r="G1055" s="15" t="s">
        <v>126</v>
      </c>
      <c r="H1055" s="15" t="s">
        <v>53</v>
      </c>
      <c r="I1055" s="15" t="s">
        <v>69</v>
      </c>
      <c r="J1055" s="15" t="s">
        <v>128</v>
      </c>
      <c r="K1055" s="17" t="n">
        <v>16.35</v>
      </c>
      <c r="L1055" s="15" t="n">
        <v>91</v>
      </c>
      <c r="M1055" s="18" t="n">
        <v>0</v>
      </c>
      <c r="N1055" s="17" t="n">
        <v>10.8</v>
      </c>
      <c r="O1055" s="17" t="n">
        <f aca="false">K1055*L1055*(1-M1055)</f>
        <v>1487.85</v>
      </c>
      <c r="P1055" s="17" t="n">
        <f aca="false">N1055*L1055</f>
        <v>982.8</v>
      </c>
      <c r="Q1055" s="17" t="n">
        <f aca="false">O1055-P1055</f>
        <v>505.05</v>
      </c>
      <c r="R1055" s="15" t="s">
        <v>63</v>
      </c>
      <c r="S1055" s="15" t="s">
        <v>47</v>
      </c>
    </row>
    <row r="1056" customFormat="false" ht="15" hidden="false" customHeight="true" outlineLevel="0" collapsed="false">
      <c r="A1056" s="11" t="s">
        <v>1192</v>
      </c>
      <c r="B1056" s="12" t="n">
        <v>45996</v>
      </c>
      <c r="C1056" s="11" t="s">
        <v>65</v>
      </c>
      <c r="D1056" s="11" t="s">
        <v>82</v>
      </c>
      <c r="E1056" s="11" t="s">
        <v>83</v>
      </c>
      <c r="F1056" s="11" t="s">
        <v>118</v>
      </c>
      <c r="G1056" s="11" t="s">
        <v>42</v>
      </c>
      <c r="H1056" s="11" t="s">
        <v>84</v>
      </c>
      <c r="I1056" s="11" t="s">
        <v>85</v>
      </c>
      <c r="J1056" s="11" t="s">
        <v>86</v>
      </c>
      <c r="K1056" s="13" t="n">
        <v>324.79</v>
      </c>
      <c r="L1056" s="11" t="n">
        <v>21</v>
      </c>
      <c r="M1056" s="14" t="n">
        <v>0.1</v>
      </c>
      <c r="N1056" s="13" t="n">
        <v>252.51</v>
      </c>
      <c r="O1056" s="13" t="n">
        <f aca="false">K1056*L1056*(1-M1056)</f>
        <v>6138.531</v>
      </c>
      <c r="P1056" s="13" t="n">
        <f aca="false">N1056*L1056</f>
        <v>5302.71</v>
      </c>
      <c r="Q1056" s="13" t="n">
        <f aca="false">O1056-P1056</f>
        <v>835.821</v>
      </c>
      <c r="R1056" s="11" t="s">
        <v>63</v>
      </c>
      <c r="S1056" s="11" t="s">
        <v>72</v>
      </c>
    </row>
    <row r="1057" customFormat="false" ht="15" hidden="false" customHeight="true" outlineLevel="0" collapsed="false">
      <c r="A1057" s="15" t="s">
        <v>1193</v>
      </c>
      <c r="B1057" s="16" t="n">
        <v>45996</v>
      </c>
      <c r="C1057" s="15" t="s">
        <v>65</v>
      </c>
      <c r="D1057" s="15" t="s">
        <v>116</v>
      </c>
      <c r="E1057" s="15" t="s">
        <v>117</v>
      </c>
      <c r="F1057" s="15" t="s">
        <v>109</v>
      </c>
      <c r="G1057" s="15" t="s">
        <v>42</v>
      </c>
      <c r="H1057" s="15" t="s">
        <v>78</v>
      </c>
      <c r="I1057" s="15" t="s">
        <v>120</v>
      </c>
      <c r="J1057" s="15" t="s">
        <v>232</v>
      </c>
      <c r="K1057" s="17" t="n">
        <v>222.58</v>
      </c>
      <c r="L1057" s="15" t="n">
        <v>70</v>
      </c>
      <c r="M1057" s="18" t="n">
        <v>0.05</v>
      </c>
      <c r="N1057" s="17" t="n">
        <v>174.61</v>
      </c>
      <c r="O1057" s="17" t="n">
        <f aca="false">K1057*L1057*(1-M1057)</f>
        <v>14801.57</v>
      </c>
      <c r="P1057" s="17" t="n">
        <f aca="false">N1057*L1057</f>
        <v>12222.7</v>
      </c>
      <c r="Q1057" s="17" t="n">
        <f aca="false">O1057-P1057</f>
        <v>2578.87</v>
      </c>
      <c r="R1057" s="15" t="s">
        <v>46</v>
      </c>
      <c r="S1057" s="15" t="s">
        <v>47</v>
      </c>
    </row>
    <row r="1058" customFormat="false" ht="15" hidden="false" customHeight="true" outlineLevel="0" collapsed="false">
      <c r="A1058" s="11" t="s">
        <v>1194</v>
      </c>
      <c r="B1058" s="12" t="n">
        <v>45996</v>
      </c>
      <c r="C1058" s="11" t="s">
        <v>65</v>
      </c>
      <c r="D1058" s="11" t="s">
        <v>82</v>
      </c>
      <c r="E1058" s="11" t="s">
        <v>83</v>
      </c>
      <c r="F1058" s="11" t="s">
        <v>51</v>
      </c>
      <c r="G1058" s="11" t="s">
        <v>52</v>
      </c>
      <c r="H1058" s="11" t="s">
        <v>53</v>
      </c>
      <c r="I1058" s="11" t="s">
        <v>94</v>
      </c>
      <c r="J1058" s="11" t="s">
        <v>131</v>
      </c>
      <c r="K1058" s="13" t="n">
        <v>35.6</v>
      </c>
      <c r="L1058" s="11" t="n">
        <v>25</v>
      </c>
      <c r="M1058" s="14" t="n">
        <v>0</v>
      </c>
      <c r="N1058" s="13" t="n">
        <v>20.41</v>
      </c>
      <c r="O1058" s="13" t="n">
        <f aca="false">K1058*L1058*(1-M1058)</f>
        <v>890</v>
      </c>
      <c r="P1058" s="13" t="n">
        <f aca="false">N1058*L1058</f>
        <v>510.25</v>
      </c>
      <c r="Q1058" s="13" t="n">
        <f aca="false">O1058-P1058</f>
        <v>379.75</v>
      </c>
      <c r="R1058" s="11" t="s">
        <v>46</v>
      </c>
      <c r="S1058" s="11" t="s">
        <v>47</v>
      </c>
    </row>
    <row r="1059" customFormat="false" ht="15" hidden="false" customHeight="true" outlineLevel="0" collapsed="false">
      <c r="A1059" s="15" t="s">
        <v>1195</v>
      </c>
      <c r="B1059" s="16" t="n">
        <v>45996</v>
      </c>
      <c r="C1059" s="15" t="s">
        <v>49</v>
      </c>
      <c r="D1059" s="15" t="s">
        <v>97</v>
      </c>
      <c r="E1059" s="15" t="s">
        <v>108</v>
      </c>
      <c r="F1059" s="15" t="s">
        <v>51</v>
      </c>
      <c r="G1059" s="15" t="s">
        <v>52</v>
      </c>
      <c r="H1059" s="15" t="s">
        <v>43</v>
      </c>
      <c r="I1059" s="15" t="s">
        <v>44</v>
      </c>
      <c r="J1059" s="15" t="s">
        <v>106</v>
      </c>
      <c r="K1059" s="17" t="n">
        <v>453.13</v>
      </c>
      <c r="L1059" s="15" t="n">
        <v>28</v>
      </c>
      <c r="M1059" s="18" t="n">
        <v>0</v>
      </c>
      <c r="N1059" s="17" t="n">
        <v>140.55</v>
      </c>
      <c r="O1059" s="17" t="n">
        <f aca="false">K1059*L1059*(1-M1059)</f>
        <v>12687.64</v>
      </c>
      <c r="P1059" s="17" t="n">
        <f aca="false">N1059*L1059</f>
        <v>3935.4</v>
      </c>
      <c r="Q1059" s="17" t="n">
        <f aca="false">O1059-P1059</f>
        <v>8752.24</v>
      </c>
      <c r="R1059" s="15" t="s">
        <v>46</v>
      </c>
      <c r="S1059" s="15" t="s">
        <v>47</v>
      </c>
    </row>
    <row r="1060" customFormat="false" ht="15" hidden="false" customHeight="true" outlineLevel="0" collapsed="false">
      <c r="A1060" s="11" t="s">
        <v>1196</v>
      </c>
      <c r="B1060" s="12" t="n">
        <v>45996</v>
      </c>
      <c r="C1060" s="11" t="s">
        <v>49</v>
      </c>
      <c r="D1060" s="11" t="s">
        <v>97</v>
      </c>
      <c r="E1060" s="11" t="s">
        <v>108</v>
      </c>
      <c r="F1060" s="11" t="s">
        <v>109</v>
      </c>
      <c r="G1060" s="11" t="s">
        <v>77</v>
      </c>
      <c r="H1060" s="11" t="s">
        <v>78</v>
      </c>
      <c r="I1060" s="11" t="s">
        <v>154</v>
      </c>
      <c r="J1060" s="11" t="s">
        <v>186</v>
      </c>
      <c r="K1060" s="13" t="n">
        <v>535.1</v>
      </c>
      <c r="L1060" s="11" t="n">
        <v>17</v>
      </c>
      <c r="M1060" s="14" t="n">
        <v>0.1</v>
      </c>
      <c r="N1060" s="13" t="n">
        <v>450.01</v>
      </c>
      <c r="O1060" s="13" t="n">
        <f aca="false">K1060*L1060*(1-M1060)</f>
        <v>8187.03</v>
      </c>
      <c r="P1060" s="13" t="n">
        <f aca="false">N1060*L1060</f>
        <v>7650.17</v>
      </c>
      <c r="Q1060" s="13" t="n">
        <f aca="false">O1060-P1060</f>
        <v>536.860000000001</v>
      </c>
      <c r="R1060" s="11" t="s">
        <v>63</v>
      </c>
      <c r="S1060" s="11" t="s">
        <v>47</v>
      </c>
    </row>
    <row r="1061" customFormat="false" ht="15" hidden="false" customHeight="true" outlineLevel="0" collapsed="false">
      <c r="A1061" s="15" t="s">
        <v>1197</v>
      </c>
      <c r="B1061" s="16" t="n">
        <v>45996</v>
      </c>
      <c r="C1061" s="15" t="s">
        <v>38</v>
      </c>
      <c r="D1061" s="15" t="s">
        <v>92</v>
      </c>
      <c r="E1061" s="15" t="s">
        <v>93</v>
      </c>
      <c r="F1061" s="15" t="s">
        <v>177</v>
      </c>
      <c r="G1061" s="15" t="s">
        <v>42</v>
      </c>
      <c r="H1061" s="15" t="s">
        <v>78</v>
      </c>
      <c r="I1061" s="15" t="s">
        <v>120</v>
      </c>
      <c r="J1061" s="15" t="s">
        <v>232</v>
      </c>
      <c r="K1061" s="17" t="n">
        <v>264.02</v>
      </c>
      <c r="L1061" s="15" t="n">
        <v>18</v>
      </c>
      <c r="M1061" s="18" t="n">
        <v>0.1</v>
      </c>
      <c r="N1061" s="17" t="n">
        <v>212.57</v>
      </c>
      <c r="O1061" s="17" t="n">
        <f aca="false">K1061*L1061*(1-M1061)</f>
        <v>4277.124</v>
      </c>
      <c r="P1061" s="17" t="n">
        <f aca="false">N1061*L1061</f>
        <v>3826.26</v>
      </c>
      <c r="Q1061" s="17" t="n">
        <f aca="false">O1061-P1061</f>
        <v>450.864</v>
      </c>
      <c r="R1061" s="15" t="s">
        <v>114</v>
      </c>
      <c r="S1061" s="15" t="s">
        <v>47</v>
      </c>
    </row>
    <row r="1062" customFormat="false" ht="15" hidden="false" customHeight="true" outlineLevel="0" collapsed="false">
      <c r="A1062" s="11" t="s">
        <v>1198</v>
      </c>
      <c r="B1062" s="12" t="n">
        <v>45997</v>
      </c>
      <c r="C1062" s="11" t="s">
        <v>49</v>
      </c>
      <c r="D1062" s="11" t="s">
        <v>97</v>
      </c>
      <c r="E1062" s="11" t="s">
        <v>108</v>
      </c>
      <c r="F1062" s="11" t="s">
        <v>51</v>
      </c>
      <c r="G1062" s="11" t="s">
        <v>126</v>
      </c>
      <c r="H1062" s="11" t="s">
        <v>84</v>
      </c>
      <c r="I1062" s="11" t="s">
        <v>136</v>
      </c>
      <c r="J1062" s="11" t="s">
        <v>247</v>
      </c>
      <c r="K1062" s="13" t="n">
        <v>892.59</v>
      </c>
      <c r="L1062" s="11" t="n">
        <v>22</v>
      </c>
      <c r="M1062" s="14" t="n">
        <v>0</v>
      </c>
      <c r="N1062" s="13" t="n">
        <v>700.82</v>
      </c>
      <c r="O1062" s="13" t="n">
        <f aca="false">K1062*L1062*(1-M1062)</f>
        <v>19636.98</v>
      </c>
      <c r="P1062" s="13" t="n">
        <f aca="false">N1062*L1062</f>
        <v>15418.04</v>
      </c>
      <c r="Q1062" s="13" t="n">
        <f aca="false">O1062-P1062</f>
        <v>4218.94</v>
      </c>
      <c r="R1062" s="11" t="s">
        <v>63</v>
      </c>
      <c r="S1062" s="11" t="s">
        <v>72</v>
      </c>
    </row>
    <row r="1063" customFormat="false" ht="15" hidden="false" customHeight="true" outlineLevel="0" collapsed="false">
      <c r="A1063" s="15" t="s">
        <v>1199</v>
      </c>
      <c r="B1063" s="16" t="n">
        <v>45998</v>
      </c>
      <c r="C1063" s="15" t="s">
        <v>49</v>
      </c>
      <c r="D1063" s="15" t="s">
        <v>97</v>
      </c>
      <c r="E1063" s="15" t="s">
        <v>98</v>
      </c>
      <c r="F1063" s="15" t="s">
        <v>60</v>
      </c>
      <c r="G1063" s="15" t="s">
        <v>130</v>
      </c>
      <c r="H1063" s="15" t="s">
        <v>53</v>
      </c>
      <c r="I1063" s="15" t="s">
        <v>69</v>
      </c>
      <c r="J1063" s="15" t="s">
        <v>128</v>
      </c>
      <c r="K1063" s="17" t="n">
        <v>12.51</v>
      </c>
      <c r="L1063" s="15" t="n">
        <v>15</v>
      </c>
      <c r="M1063" s="18" t="n">
        <v>0.05</v>
      </c>
      <c r="N1063" s="17" t="n">
        <v>8.1</v>
      </c>
      <c r="O1063" s="17" t="n">
        <f aca="false">K1063*L1063*(1-M1063)</f>
        <v>178.2675</v>
      </c>
      <c r="P1063" s="17" t="n">
        <f aca="false">N1063*L1063</f>
        <v>121.5</v>
      </c>
      <c r="Q1063" s="17" t="n">
        <f aca="false">O1063-P1063</f>
        <v>56.7675</v>
      </c>
      <c r="R1063" s="15" t="s">
        <v>46</v>
      </c>
      <c r="S1063" s="15" t="s">
        <v>47</v>
      </c>
    </row>
    <row r="1064" customFormat="false" ht="15" hidden="false" customHeight="true" outlineLevel="0" collapsed="false">
      <c r="A1064" s="11" t="s">
        <v>1200</v>
      </c>
      <c r="B1064" s="12" t="n">
        <v>45999</v>
      </c>
      <c r="C1064" s="11" t="s">
        <v>57</v>
      </c>
      <c r="D1064" s="11" t="s">
        <v>103</v>
      </c>
      <c r="E1064" s="11" t="s">
        <v>104</v>
      </c>
      <c r="F1064" s="11" t="s">
        <v>177</v>
      </c>
      <c r="G1064" s="11" t="s">
        <v>126</v>
      </c>
      <c r="H1064" s="11" t="s">
        <v>53</v>
      </c>
      <c r="I1064" s="11" t="s">
        <v>54</v>
      </c>
      <c r="J1064" s="11" t="s">
        <v>113</v>
      </c>
      <c r="K1064" s="13" t="n">
        <v>10.58</v>
      </c>
      <c r="L1064" s="11" t="n">
        <v>38</v>
      </c>
      <c r="M1064" s="14" t="n">
        <v>0</v>
      </c>
      <c r="N1064" s="13" t="n">
        <v>7.41</v>
      </c>
      <c r="O1064" s="13" t="n">
        <f aca="false">K1064*L1064*(1-M1064)</f>
        <v>402.04</v>
      </c>
      <c r="P1064" s="13" t="n">
        <f aca="false">N1064*L1064</f>
        <v>281.58</v>
      </c>
      <c r="Q1064" s="13" t="n">
        <f aca="false">O1064-P1064</f>
        <v>120.46</v>
      </c>
      <c r="R1064" s="11" t="s">
        <v>46</v>
      </c>
      <c r="S1064" s="11" t="s">
        <v>47</v>
      </c>
    </row>
    <row r="1065" customFormat="false" ht="15" hidden="false" customHeight="true" outlineLevel="0" collapsed="false">
      <c r="A1065" s="15" t="s">
        <v>1201</v>
      </c>
      <c r="B1065" s="16" t="n">
        <v>45999</v>
      </c>
      <c r="C1065" s="15" t="s">
        <v>74</v>
      </c>
      <c r="D1065" s="15" t="s">
        <v>75</v>
      </c>
      <c r="E1065" s="15" t="s">
        <v>76</v>
      </c>
      <c r="F1065" s="15" t="s">
        <v>68</v>
      </c>
      <c r="G1065" s="15" t="s">
        <v>130</v>
      </c>
      <c r="H1065" s="15" t="s">
        <v>84</v>
      </c>
      <c r="I1065" s="15" t="s">
        <v>136</v>
      </c>
      <c r="J1065" s="15" t="s">
        <v>137</v>
      </c>
      <c r="K1065" s="17" t="n">
        <v>400.52</v>
      </c>
      <c r="L1065" s="15" t="n">
        <v>28</v>
      </c>
      <c r="M1065" s="18" t="n">
        <v>0</v>
      </c>
      <c r="N1065" s="17" t="n">
        <v>293.71</v>
      </c>
      <c r="O1065" s="17" t="n">
        <f aca="false">K1065*L1065*(1-M1065)</f>
        <v>11214.56</v>
      </c>
      <c r="P1065" s="17" t="n">
        <f aca="false">N1065*L1065</f>
        <v>8223.88</v>
      </c>
      <c r="Q1065" s="17" t="n">
        <f aca="false">O1065-P1065</f>
        <v>2990.68</v>
      </c>
      <c r="R1065" s="15" t="s">
        <v>114</v>
      </c>
      <c r="S1065" s="15" t="s">
        <v>47</v>
      </c>
    </row>
    <row r="1066" customFormat="false" ht="15" hidden="false" customHeight="true" outlineLevel="0" collapsed="false">
      <c r="A1066" s="11" t="s">
        <v>1202</v>
      </c>
      <c r="B1066" s="12" t="n">
        <v>46000</v>
      </c>
      <c r="C1066" s="11" t="s">
        <v>49</v>
      </c>
      <c r="D1066" s="11" t="s">
        <v>97</v>
      </c>
      <c r="E1066" s="11" t="s">
        <v>112</v>
      </c>
      <c r="F1066" s="11" t="s">
        <v>123</v>
      </c>
      <c r="G1066" s="11" t="s">
        <v>77</v>
      </c>
      <c r="H1066" s="11" t="s">
        <v>84</v>
      </c>
      <c r="I1066" s="11" t="s">
        <v>100</v>
      </c>
      <c r="J1066" s="11" t="s">
        <v>101</v>
      </c>
      <c r="K1066" s="13" t="n">
        <v>1113.82</v>
      </c>
      <c r="L1066" s="11" t="n">
        <v>9</v>
      </c>
      <c r="M1066" s="14" t="n">
        <v>0.15</v>
      </c>
      <c r="N1066" s="13" t="n">
        <v>886.59</v>
      </c>
      <c r="O1066" s="13" t="n">
        <f aca="false">K1066*L1066*(1-M1066)</f>
        <v>8520.723</v>
      </c>
      <c r="P1066" s="13" t="n">
        <f aca="false">N1066*L1066</f>
        <v>7979.31</v>
      </c>
      <c r="Q1066" s="13" t="n">
        <f aca="false">O1066-P1066</f>
        <v>541.413</v>
      </c>
      <c r="R1066" s="11" t="s">
        <v>114</v>
      </c>
      <c r="S1066" s="11" t="s">
        <v>72</v>
      </c>
    </row>
    <row r="1067" customFormat="false" ht="15" hidden="false" customHeight="true" outlineLevel="0" collapsed="false">
      <c r="A1067" s="15" t="s">
        <v>1203</v>
      </c>
      <c r="B1067" s="16" t="n">
        <v>46001</v>
      </c>
      <c r="C1067" s="15" t="s">
        <v>65</v>
      </c>
      <c r="D1067" s="15" t="s">
        <v>116</v>
      </c>
      <c r="E1067" s="15" t="s">
        <v>117</v>
      </c>
      <c r="F1067" s="15" t="s">
        <v>41</v>
      </c>
      <c r="G1067" s="15" t="s">
        <v>42</v>
      </c>
      <c r="H1067" s="15" t="s">
        <v>78</v>
      </c>
      <c r="I1067" s="15" t="s">
        <v>154</v>
      </c>
      <c r="J1067" s="15" t="s">
        <v>155</v>
      </c>
      <c r="K1067" s="17" t="n">
        <v>758.35</v>
      </c>
      <c r="L1067" s="15" t="n">
        <v>16</v>
      </c>
      <c r="M1067" s="18" t="n">
        <v>0</v>
      </c>
      <c r="N1067" s="17" t="n">
        <v>612.67</v>
      </c>
      <c r="O1067" s="17" t="n">
        <f aca="false">K1067*L1067*(1-M1067)</f>
        <v>12133.6</v>
      </c>
      <c r="P1067" s="17" t="n">
        <f aca="false">N1067*L1067</f>
        <v>9802.72</v>
      </c>
      <c r="Q1067" s="17" t="n">
        <f aca="false">O1067-P1067</f>
        <v>2330.88</v>
      </c>
      <c r="R1067" s="15" t="s">
        <v>71</v>
      </c>
      <c r="S1067" s="15" t="s">
        <v>47</v>
      </c>
    </row>
    <row r="1068" customFormat="false" ht="15" hidden="false" customHeight="true" outlineLevel="0" collapsed="false">
      <c r="A1068" s="11" t="s">
        <v>1204</v>
      </c>
      <c r="B1068" s="12" t="n">
        <v>46001</v>
      </c>
      <c r="C1068" s="11" t="s">
        <v>49</v>
      </c>
      <c r="D1068" s="11" t="s">
        <v>152</v>
      </c>
      <c r="E1068" s="11" t="s">
        <v>152</v>
      </c>
      <c r="F1068" s="11" t="s">
        <v>109</v>
      </c>
      <c r="G1068" s="11" t="s">
        <v>77</v>
      </c>
      <c r="H1068" s="11" t="s">
        <v>78</v>
      </c>
      <c r="I1068" s="11" t="s">
        <v>79</v>
      </c>
      <c r="J1068" s="11" t="s">
        <v>216</v>
      </c>
      <c r="K1068" s="13" t="n">
        <v>3164.51</v>
      </c>
      <c r="L1068" s="11" t="n">
        <v>6</v>
      </c>
      <c r="M1068" s="14" t="n">
        <v>0.15</v>
      </c>
      <c r="N1068" s="13" t="n">
        <v>2650.83</v>
      </c>
      <c r="O1068" s="13" t="n">
        <f aca="false">K1068*L1068*(1-M1068)</f>
        <v>16139.001</v>
      </c>
      <c r="P1068" s="13" t="n">
        <f aca="false">N1068*L1068</f>
        <v>15904.98</v>
      </c>
      <c r="Q1068" s="13" t="n">
        <f aca="false">O1068-P1068</f>
        <v>234.021000000001</v>
      </c>
      <c r="R1068" s="11" t="s">
        <v>46</v>
      </c>
      <c r="S1068" s="11" t="s">
        <v>47</v>
      </c>
    </row>
    <row r="1069" customFormat="false" ht="15" hidden="false" customHeight="true" outlineLevel="0" collapsed="false">
      <c r="A1069" s="15" t="s">
        <v>1205</v>
      </c>
      <c r="B1069" s="16" t="n">
        <v>46001</v>
      </c>
      <c r="C1069" s="15" t="s">
        <v>65</v>
      </c>
      <c r="D1069" s="15" t="s">
        <v>82</v>
      </c>
      <c r="E1069" s="15" t="s">
        <v>83</v>
      </c>
      <c r="F1069" s="15" t="s">
        <v>118</v>
      </c>
      <c r="G1069" s="15" t="s">
        <v>52</v>
      </c>
      <c r="H1069" s="15" t="s">
        <v>78</v>
      </c>
      <c r="I1069" s="15" t="s">
        <v>79</v>
      </c>
      <c r="J1069" s="15" t="s">
        <v>80</v>
      </c>
      <c r="K1069" s="17" t="n">
        <v>4026.55</v>
      </c>
      <c r="L1069" s="15" t="n">
        <v>15</v>
      </c>
      <c r="M1069" s="18" t="n">
        <v>0</v>
      </c>
      <c r="N1069" s="17" t="n">
        <v>3291.92</v>
      </c>
      <c r="O1069" s="17" t="n">
        <f aca="false">K1069*L1069*(1-M1069)</f>
        <v>60398.25</v>
      </c>
      <c r="P1069" s="17" t="n">
        <f aca="false">N1069*L1069</f>
        <v>49378.8</v>
      </c>
      <c r="Q1069" s="17" t="n">
        <f aca="false">O1069-P1069</f>
        <v>11019.45</v>
      </c>
      <c r="R1069" s="15" t="s">
        <v>46</v>
      </c>
      <c r="S1069" s="15" t="s">
        <v>47</v>
      </c>
    </row>
    <row r="1070" customFormat="false" ht="15" hidden="false" customHeight="true" outlineLevel="0" collapsed="false">
      <c r="A1070" s="11" t="s">
        <v>1206</v>
      </c>
      <c r="B1070" s="12" t="n">
        <v>46002</v>
      </c>
      <c r="C1070" s="11" t="s">
        <v>49</v>
      </c>
      <c r="D1070" s="11" t="s">
        <v>152</v>
      </c>
      <c r="E1070" s="11" t="s">
        <v>152</v>
      </c>
      <c r="F1070" s="11" t="s">
        <v>99</v>
      </c>
      <c r="G1070" s="11" t="s">
        <v>42</v>
      </c>
      <c r="H1070" s="11" t="s">
        <v>53</v>
      </c>
      <c r="I1070" s="11" t="s">
        <v>69</v>
      </c>
      <c r="J1070" s="11" t="s">
        <v>128</v>
      </c>
      <c r="K1070" s="13" t="n">
        <v>17.42</v>
      </c>
      <c r="L1070" s="11" t="n">
        <v>153</v>
      </c>
      <c r="M1070" s="14" t="n">
        <v>0</v>
      </c>
      <c r="N1070" s="13" t="n">
        <v>12.58</v>
      </c>
      <c r="O1070" s="13" t="n">
        <f aca="false">K1070*L1070*(1-M1070)</f>
        <v>2665.26</v>
      </c>
      <c r="P1070" s="13" t="n">
        <f aca="false">N1070*L1070</f>
        <v>1924.74</v>
      </c>
      <c r="Q1070" s="13" t="n">
        <f aca="false">O1070-P1070</f>
        <v>740.52</v>
      </c>
      <c r="R1070" s="11" t="s">
        <v>63</v>
      </c>
      <c r="S1070" s="11" t="s">
        <v>47</v>
      </c>
    </row>
    <row r="1071" customFormat="false" ht="15" hidden="false" customHeight="true" outlineLevel="0" collapsed="false">
      <c r="A1071" s="15" t="s">
        <v>1207</v>
      </c>
      <c r="B1071" s="16" t="n">
        <v>46003</v>
      </c>
      <c r="C1071" s="15" t="s">
        <v>49</v>
      </c>
      <c r="D1071" s="15" t="s">
        <v>50</v>
      </c>
      <c r="E1071" s="15" t="s">
        <v>50</v>
      </c>
      <c r="F1071" s="15" t="s">
        <v>177</v>
      </c>
      <c r="G1071" s="15" t="s">
        <v>52</v>
      </c>
      <c r="H1071" s="15" t="s">
        <v>78</v>
      </c>
      <c r="I1071" s="15" t="s">
        <v>154</v>
      </c>
      <c r="J1071" s="15" t="s">
        <v>186</v>
      </c>
      <c r="K1071" s="17" t="n">
        <v>1048.22</v>
      </c>
      <c r="L1071" s="15" t="n">
        <v>20</v>
      </c>
      <c r="M1071" s="18" t="n">
        <v>0</v>
      </c>
      <c r="N1071" s="17" t="n">
        <v>856.6</v>
      </c>
      <c r="O1071" s="17" t="n">
        <f aca="false">K1071*L1071*(1-M1071)</f>
        <v>20964.4</v>
      </c>
      <c r="P1071" s="17" t="n">
        <f aca="false">N1071*L1071</f>
        <v>17132</v>
      </c>
      <c r="Q1071" s="17" t="n">
        <f aca="false">O1071-P1071</f>
        <v>3832.4</v>
      </c>
      <c r="R1071" s="15" t="s">
        <v>71</v>
      </c>
      <c r="S1071" s="15" t="s">
        <v>47</v>
      </c>
    </row>
    <row r="1072" customFormat="false" ht="15" hidden="false" customHeight="true" outlineLevel="0" collapsed="false">
      <c r="A1072" s="11" t="s">
        <v>1208</v>
      </c>
      <c r="B1072" s="12" t="n">
        <v>46003</v>
      </c>
      <c r="C1072" s="11" t="s">
        <v>49</v>
      </c>
      <c r="D1072" s="11" t="s">
        <v>97</v>
      </c>
      <c r="E1072" s="11" t="s">
        <v>98</v>
      </c>
      <c r="F1072" s="11" t="s">
        <v>135</v>
      </c>
      <c r="G1072" s="11" t="s">
        <v>77</v>
      </c>
      <c r="H1072" s="11" t="s">
        <v>53</v>
      </c>
      <c r="I1072" s="11" t="s">
        <v>54</v>
      </c>
      <c r="J1072" s="11" t="s">
        <v>55</v>
      </c>
      <c r="K1072" s="13" t="n">
        <v>16.39</v>
      </c>
      <c r="L1072" s="11" t="n">
        <v>49</v>
      </c>
      <c r="M1072" s="14" t="n">
        <v>0</v>
      </c>
      <c r="N1072" s="13" t="n">
        <v>11.31</v>
      </c>
      <c r="O1072" s="13" t="n">
        <f aca="false">K1072*L1072*(1-M1072)</f>
        <v>803.11</v>
      </c>
      <c r="P1072" s="13" t="n">
        <f aca="false">N1072*L1072</f>
        <v>554.19</v>
      </c>
      <c r="Q1072" s="13" t="n">
        <f aca="false">O1072-P1072</f>
        <v>248.92</v>
      </c>
      <c r="R1072" s="11" t="s">
        <v>46</v>
      </c>
      <c r="S1072" s="11" t="s">
        <v>124</v>
      </c>
    </row>
    <row r="1073" customFormat="false" ht="15" hidden="false" customHeight="true" outlineLevel="0" collapsed="false">
      <c r="A1073" s="15" t="s">
        <v>1209</v>
      </c>
      <c r="B1073" s="16" t="n">
        <v>46004</v>
      </c>
      <c r="C1073" s="15" t="s">
        <v>49</v>
      </c>
      <c r="D1073" s="15" t="s">
        <v>50</v>
      </c>
      <c r="E1073" s="15" t="s">
        <v>50</v>
      </c>
      <c r="F1073" s="15" t="s">
        <v>135</v>
      </c>
      <c r="G1073" s="15" t="s">
        <v>52</v>
      </c>
      <c r="H1073" s="15" t="s">
        <v>84</v>
      </c>
      <c r="I1073" s="15" t="s">
        <v>85</v>
      </c>
      <c r="J1073" s="15" t="s">
        <v>90</v>
      </c>
      <c r="K1073" s="17" t="n">
        <v>646.21</v>
      </c>
      <c r="L1073" s="15" t="n">
        <v>2</v>
      </c>
      <c r="M1073" s="18" t="n">
        <v>0</v>
      </c>
      <c r="N1073" s="17" t="n">
        <v>473.69</v>
      </c>
      <c r="O1073" s="17" t="n">
        <f aca="false">K1073*L1073*(1-M1073)</f>
        <v>1292.42</v>
      </c>
      <c r="P1073" s="17" t="n">
        <f aca="false">N1073*L1073</f>
        <v>947.38</v>
      </c>
      <c r="Q1073" s="17" t="n">
        <f aca="false">O1073-P1073</f>
        <v>345.04</v>
      </c>
      <c r="R1073" s="15" t="s">
        <v>63</v>
      </c>
      <c r="S1073" s="15" t="s">
        <v>47</v>
      </c>
    </row>
    <row r="1074" customFormat="false" ht="15" hidden="false" customHeight="true" outlineLevel="0" collapsed="false">
      <c r="A1074" s="11" t="s">
        <v>1210</v>
      </c>
      <c r="B1074" s="12" t="n">
        <v>46004</v>
      </c>
      <c r="C1074" s="11" t="s">
        <v>49</v>
      </c>
      <c r="D1074" s="11" t="s">
        <v>152</v>
      </c>
      <c r="E1074" s="11" t="s">
        <v>152</v>
      </c>
      <c r="F1074" s="11" t="s">
        <v>51</v>
      </c>
      <c r="G1074" s="11" t="s">
        <v>42</v>
      </c>
      <c r="H1074" s="11" t="s">
        <v>78</v>
      </c>
      <c r="I1074" s="11" t="s">
        <v>79</v>
      </c>
      <c r="J1074" s="11" t="s">
        <v>216</v>
      </c>
      <c r="K1074" s="13" t="n">
        <v>5256.68</v>
      </c>
      <c r="L1074" s="11" t="n">
        <v>2</v>
      </c>
      <c r="M1074" s="14" t="n">
        <v>0</v>
      </c>
      <c r="N1074" s="13" t="n">
        <v>4575.83</v>
      </c>
      <c r="O1074" s="13" t="n">
        <f aca="false">K1074*L1074*(1-M1074)</f>
        <v>10513.36</v>
      </c>
      <c r="P1074" s="13" t="n">
        <f aca="false">N1074*L1074</f>
        <v>9151.66</v>
      </c>
      <c r="Q1074" s="13" t="n">
        <f aca="false">O1074-P1074</f>
        <v>1361.7</v>
      </c>
      <c r="R1074" s="11" t="s">
        <v>46</v>
      </c>
      <c r="S1074" s="11" t="s">
        <v>47</v>
      </c>
    </row>
    <row r="1075" customFormat="false" ht="15" hidden="false" customHeight="true" outlineLevel="0" collapsed="false">
      <c r="A1075" s="15" t="s">
        <v>1211</v>
      </c>
      <c r="B1075" s="16" t="n">
        <v>46005</v>
      </c>
      <c r="C1075" s="15" t="s">
        <v>38</v>
      </c>
      <c r="D1075" s="15" t="s">
        <v>39</v>
      </c>
      <c r="E1075" s="15" t="s">
        <v>40</v>
      </c>
      <c r="F1075" s="15" t="s">
        <v>99</v>
      </c>
      <c r="G1075" s="15" t="s">
        <v>52</v>
      </c>
      <c r="H1075" s="15" t="s">
        <v>53</v>
      </c>
      <c r="I1075" s="15" t="s">
        <v>54</v>
      </c>
      <c r="J1075" s="15" t="s">
        <v>113</v>
      </c>
      <c r="K1075" s="17" t="n">
        <v>11.12</v>
      </c>
      <c r="L1075" s="15" t="n">
        <v>10</v>
      </c>
      <c r="M1075" s="18" t="n">
        <v>0.1</v>
      </c>
      <c r="N1075" s="17" t="n">
        <v>6.58</v>
      </c>
      <c r="O1075" s="17" t="n">
        <f aca="false">K1075*L1075*(1-M1075)</f>
        <v>100.08</v>
      </c>
      <c r="P1075" s="17" t="n">
        <f aca="false">N1075*L1075</f>
        <v>65.8</v>
      </c>
      <c r="Q1075" s="17" t="n">
        <f aca="false">O1075-P1075</f>
        <v>34.28</v>
      </c>
      <c r="R1075" s="15" t="s">
        <v>167</v>
      </c>
      <c r="S1075" s="15" t="s">
        <v>47</v>
      </c>
    </row>
    <row r="1076" customFormat="false" ht="15" hidden="false" customHeight="true" outlineLevel="0" collapsed="false">
      <c r="A1076" s="11" t="s">
        <v>1212</v>
      </c>
      <c r="B1076" s="12" t="n">
        <v>46005</v>
      </c>
      <c r="C1076" s="11" t="s">
        <v>65</v>
      </c>
      <c r="D1076" s="11" t="s">
        <v>82</v>
      </c>
      <c r="E1076" s="11" t="s">
        <v>83</v>
      </c>
      <c r="F1076" s="11" t="s">
        <v>60</v>
      </c>
      <c r="G1076" s="11" t="s">
        <v>126</v>
      </c>
      <c r="H1076" s="11" t="s">
        <v>43</v>
      </c>
      <c r="I1076" s="11" t="s">
        <v>44</v>
      </c>
      <c r="J1076" s="11" t="s">
        <v>45</v>
      </c>
      <c r="K1076" s="13" t="n">
        <v>239.66</v>
      </c>
      <c r="L1076" s="11" t="n">
        <v>71</v>
      </c>
      <c r="M1076" s="14" t="n">
        <v>0</v>
      </c>
      <c r="N1076" s="13" t="n">
        <v>67.62</v>
      </c>
      <c r="O1076" s="13" t="n">
        <f aca="false">K1076*L1076*(1-M1076)</f>
        <v>17015.86</v>
      </c>
      <c r="P1076" s="13" t="n">
        <f aca="false">N1076*L1076</f>
        <v>4801.02</v>
      </c>
      <c r="Q1076" s="13" t="n">
        <f aca="false">O1076-P1076</f>
        <v>12214.84</v>
      </c>
      <c r="R1076" s="11" t="s">
        <v>114</v>
      </c>
      <c r="S1076" s="11" t="s">
        <v>47</v>
      </c>
    </row>
    <row r="1077" customFormat="false" ht="15" hidden="false" customHeight="true" outlineLevel="0" collapsed="false">
      <c r="A1077" s="15" t="s">
        <v>1213</v>
      </c>
      <c r="B1077" s="16" t="n">
        <v>46005</v>
      </c>
      <c r="C1077" s="15" t="s">
        <v>38</v>
      </c>
      <c r="D1077" s="15" t="s">
        <v>88</v>
      </c>
      <c r="E1077" s="15" t="s">
        <v>89</v>
      </c>
      <c r="F1077" s="15" t="s">
        <v>68</v>
      </c>
      <c r="G1077" s="15" t="s">
        <v>42</v>
      </c>
      <c r="H1077" s="15" t="s">
        <v>78</v>
      </c>
      <c r="I1077" s="15" t="s">
        <v>79</v>
      </c>
      <c r="J1077" s="15" t="s">
        <v>216</v>
      </c>
      <c r="K1077" s="17" t="n">
        <v>3013.06</v>
      </c>
      <c r="L1077" s="15" t="n">
        <v>7</v>
      </c>
      <c r="M1077" s="18" t="n">
        <v>0.1</v>
      </c>
      <c r="N1077" s="17" t="n">
        <v>2634.34</v>
      </c>
      <c r="O1077" s="17" t="n">
        <f aca="false">K1077*L1077*(1-M1077)</f>
        <v>18982.278</v>
      </c>
      <c r="P1077" s="17" t="n">
        <f aca="false">N1077*L1077</f>
        <v>18440.38</v>
      </c>
      <c r="Q1077" s="17" t="n">
        <f aca="false">O1077-P1077</f>
        <v>541.897999999997</v>
      </c>
      <c r="R1077" s="15" t="s">
        <v>46</v>
      </c>
      <c r="S1077" s="15" t="s">
        <v>47</v>
      </c>
    </row>
    <row r="1078" customFormat="false" ht="15" hidden="false" customHeight="true" outlineLevel="0" collapsed="false">
      <c r="A1078" s="11" t="s">
        <v>1214</v>
      </c>
      <c r="B1078" s="12" t="n">
        <v>46006</v>
      </c>
      <c r="C1078" s="11" t="s">
        <v>49</v>
      </c>
      <c r="D1078" s="11" t="s">
        <v>97</v>
      </c>
      <c r="E1078" s="11" t="s">
        <v>112</v>
      </c>
      <c r="F1078" s="11" t="s">
        <v>99</v>
      </c>
      <c r="G1078" s="11" t="s">
        <v>77</v>
      </c>
      <c r="H1078" s="11" t="s">
        <v>84</v>
      </c>
      <c r="I1078" s="11" t="s">
        <v>85</v>
      </c>
      <c r="J1078" s="11" t="s">
        <v>86</v>
      </c>
      <c r="K1078" s="13" t="n">
        <v>352.81</v>
      </c>
      <c r="L1078" s="11" t="n">
        <v>22</v>
      </c>
      <c r="M1078" s="14" t="n">
        <v>0.2</v>
      </c>
      <c r="N1078" s="13" t="n">
        <v>276.02</v>
      </c>
      <c r="O1078" s="13" t="n">
        <f aca="false">K1078*L1078*(1-M1078)</f>
        <v>6209.456</v>
      </c>
      <c r="P1078" s="13" t="n">
        <f aca="false">N1078*L1078</f>
        <v>6072.44</v>
      </c>
      <c r="Q1078" s="13" t="n">
        <f aca="false">O1078-P1078</f>
        <v>137.016000000001</v>
      </c>
      <c r="R1078" s="11" t="s">
        <v>167</v>
      </c>
      <c r="S1078" s="11" t="s">
        <v>47</v>
      </c>
    </row>
    <row r="1079" customFormat="false" ht="15" hidden="false" customHeight="true" outlineLevel="0" collapsed="false">
      <c r="A1079" s="15" t="s">
        <v>1215</v>
      </c>
      <c r="B1079" s="16" t="n">
        <v>46007</v>
      </c>
      <c r="C1079" s="15" t="s">
        <v>49</v>
      </c>
      <c r="D1079" s="15" t="s">
        <v>97</v>
      </c>
      <c r="E1079" s="15" t="s">
        <v>108</v>
      </c>
      <c r="F1079" s="15" t="s">
        <v>99</v>
      </c>
      <c r="G1079" s="15" t="s">
        <v>77</v>
      </c>
      <c r="H1079" s="15" t="s">
        <v>53</v>
      </c>
      <c r="I1079" s="15" t="s">
        <v>69</v>
      </c>
      <c r="J1079" s="15" t="s">
        <v>70</v>
      </c>
      <c r="K1079" s="17" t="n">
        <v>26.34</v>
      </c>
      <c r="L1079" s="15" t="n">
        <v>74</v>
      </c>
      <c r="M1079" s="18" t="n">
        <v>0</v>
      </c>
      <c r="N1079" s="17" t="n">
        <v>17.16</v>
      </c>
      <c r="O1079" s="17" t="n">
        <f aca="false">K1079*L1079*(1-M1079)</f>
        <v>1949.16</v>
      </c>
      <c r="P1079" s="17" t="n">
        <f aca="false">N1079*L1079</f>
        <v>1269.84</v>
      </c>
      <c r="Q1079" s="17" t="n">
        <f aca="false">O1079-P1079</f>
        <v>679.32</v>
      </c>
      <c r="R1079" s="15" t="s">
        <v>46</v>
      </c>
      <c r="S1079" s="15" t="s">
        <v>124</v>
      </c>
    </row>
    <row r="1080" customFormat="false" ht="15" hidden="false" customHeight="true" outlineLevel="0" collapsed="false">
      <c r="A1080" s="11" t="s">
        <v>1216</v>
      </c>
      <c r="B1080" s="12" t="n">
        <v>46008</v>
      </c>
      <c r="C1080" s="11" t="s">
        <v>49</v>
      </c>
      <c r="D1080" s="11" t="s">
        <v>97</v>
      </c>
      <c r="E1080" s="11" t="s">
        <v>98</v>
      </c>
      <c r="F1080" s="11" t="s">
        <v>60</v>
      </c>
      <c r="G1080" s="11" t="s">
        <v>77</v>
      </c>
      <c r="H1080" s="11" t="s">
        <v>78</v>
      </c>
      <c r="I1080" s="11" t="s">
        <v>154</v>
      </c>
      <c r="J1080" s="11" t="s">
        <v>155</v>
      </c>
      <c r="K1080" s="13" t="n">
        <v>529.29</v>
      </c>
      <c r="L1080" s="11" t="n">
        <v>12</v>
      </c>
      <c r="M1080" s="14" t="n">
        <v>0</v>
      </c>
      <c r="N1080" s="13" t="n">
        <v>441.54</v>
      </c>
      <c r="O1080" s="13" t="n">
        <f aca="false">K1080*L1080*(1-M1080)</f>
        <v>6351.48</v>
      </c>
      <c r="P1080" s="13" t="n">
        <f aca="false">N1080*L1080</f>
        <v>5298.48</v>
      </c>
      <c r="Q1080" s="13" t="n">
        <f aca="false">O1080-P1080</f>
        <v>1053</v>
      </c>
      <c r="R1080" s="11" t="s">
        <v>114</v>
      </c>
      <c r="S1080" s="11" t="s">
        <v>47</v>
      </c>
    </row>
    <row r="1081" customFormat="false" ht="15" hidden="false" customHeight="true" outlineLevel="0" collapsed="false">
      <c r="A1081" s="15" t="s">
        <v>1217</v>
      </c>
      <c r="B1081" s="16" t="n">
        <v>46011</v>
      </c>
      <c r="C1081" s="15" t="s">
        <v>49</v>
      </c>
      <c r="D1081" s="15" t="s">
        <v>50</v>
      </c>
      <c r="E1081" s="15" t="s">
        <v>50</v>
      </c>
      <c r="F1081" s="15" t="s">
        <v>68</v>
      </c>
      <c r="G1081" s="15" t="s">
        <v>42</v>
      </c>
      <c r="H1081" s="15" t="s">
        <v>84</v>
      </c>
      <c r="I1081" s="15" t="s">
        <v>136</v>
      </c>
      <c r="J1081" s="15" t="s">
        <v>137</v>
      </c>
      <c r="K1081" s="17" t="n">
        <v>294.47</v>
      </c>
      <c r="L1081" s="15" t="n">
        <v>4</v>
      </c>
      <c r="M1081" s="18" t="n">
        <v>0</v>
      </c>
      <c r="N1081" s="17" t="n">
        <v>210.59</v>
      </c>
      <c r="O1081" s="17" t="n">
        <f aca="false">K1081*L1081*(1-M1081)</f>
        <v>1177.88</v>
      </c>
      <c r="P1081" s="17" t="n">
        <f aca="false">N1081*L1081</f>
        <v>842.36</v>
      </c>
      <c r="Q1081" s="17" t="n">
        <f aca="false">O1081-P1081</f>
        <v>335.52</v>
      </c>
      <c r="R1081" s="15" t="s">
        <v>63</v>
      </c>
      <c r="S1081" s="15" t="s">
        <v>72</v>
      </c>
    </row>
    <row r="1082" customFormat="false" ht="15" hidden="false" customHeight="true" outlineLevel="0" collapsed="false">
      <c r="A1082" s="11" t="s">
        <v>1218</v>
      </c>
      <c r="B1082" s="12" t="n">
        <v>46012</v>
      </c>
      <c r="C1082" s="11" t="s">
        <v>74</v>
      </c>
      <c r="D1082" s="11" t="s">
        <v>75</v>
      </c>
      <c r="E1082" s="11" t="s">
        <v>76</v>
      </c>
      <c r="F1082" s="11" t="s">
        <v>60</v>
      </c>
      <c r="G1082" s="11" t="s">
        <v>52</v>
      </c>
      <c r="H1082" s="11" t="s">
        <v>78</v>
      </c>
      <c r="I1082" s="11" t="s">
        <v>79</v>
      </c>
      <c r="J1082" s="11" t="s">
        <v>80</v>
      </c>
      <c r="K1082" s="13" t="n">
        <v>3041.72</v>
      </c>
      <c r="L1082" s="11" t="n">
        <v>12</v>
      </c>
      <c r="M1082" s="14" t="n">
        <v>0</v>
      </c>
      <c r="N1082" s="13" t="n">
        <v>2454.74</v>
      </c>
      <c r="O1082" s="13" t="n">
        <f aca="false">K1082*L1082*(1-M1082)</f>
        <v>36500.64</v>
      </c>
      <c r="P1082" s="13" t="n">
        <f aca="false">N1082*L1082</f>
        <v>29456.88</v>
      </c>
      <c r="Q1082" s="13" t="n">
        <f aca="false">O1082-P1082</f>
        <v>7043.76</v>
      </c>
      <c r="R1082" s="11" t="s">
        <v>114</v>
      </c>
      <c r="S1082" s="11" t="s">
        <v>72</v>
      </c>
    </row>
    <row r="1083" customFormat="false" ht="15" hidden="false" customHeight="true" outlineLevel="0" collapsed="false">
      <c r="A1083" s="15" t="s">
        <v>1219</v>
      </c>
      <c r="B1083" s="16" t="n">
        <v>46012</v>
      </c>
      <c r="C1083" s="15" t="s">
        <v>65</v>
      </c>
      <c r="D1083" s="15" t="s">
        <v>149</v>
      </c>
      <c r="E1083" s="15" t="s">
        <v>150</v>
      </c>
      <c r="F1083" s="15" t="s">
        <v>51</v>
      </c>
      <c r="G1083" s="15" t="s">
        <v>130</v>
      </c>
      <c r="H1083" s="15" t="s">
        <v>84</v>
      </c>
      <c r="I1083" s="15" t="s">
        <v>136</v>
      </c>
      <c r="J1083" s="15" t="s">
        <v>137</v>
      </c>
      <c r="K1083" s="17" t="n">
        <v>388.09</v>
      </c>
      <c r="L1083" s="15" t="n">
        <v>10</v>
      </c>
      <c r="M1083" s="18" t="n">
        <v>0.1</v>
      </c>
      <c r="N1083" s="17" t="n">
        <v>276.81</v>
      </c>
      <c r="O1083" s="17" t="n">
        <f aca="false">K1083*L1083*(1-M1083)</f>
        <v>3492.81</v>
      </c>
      <c r="P1083" s="17" t="n">
        <f aca="false">N1083*L1083</f>
        <v>2768.1</v>
      </c>
      <c r="Q1083" s="17" t="n">
        <f aca="false">O1083-P1083</f>
        <v>724.71</v>
      </c>
      <c r="R1083" s="15" t="s">
        <v>46</v>
      </c>
      <c r="S1083" s="15" t="s">
        <v>47</v>
      </c>
    </row>
    <row r="1084" customFormat="false" ht="15" hidden="false" customHeight="true" outlineLevel="0" collapsed="false">
      <c r="A1084" s="11" t="s">
        <v>1220</v>
      </c>
      <c r="B1084" s="12" t="n">
        <v>46013</v>
      </c>
      <c r="C1084" s="11" t="s">
        <v>49</v>
      </c>
      <c r="D1084" s="11" t="s">
        <v>97</v>
      </c>
      <c r="E1084" s="11" t="s">
        <v>98</v>
      </c>
      <c r="F1084" s="11" t="s">
        <v>51</v>
      </c>
      <c r="G1084" s="11" t="s">
        <v>52</v>
      </c>
      <c r="H1084" s="11" t="s">
        <v>78</v>
      </c>
      <c r="I1084" s="11" t="s">
        <v>154</v>
      </c>
      <c r="J1084" s="11" t="s">
        <v>155</v>
      </c>
      <c r="K1084" s="13" t="n">
        <v>666.46</v>
      </c>
      <c r="L1084" s="11" t="n">
        <v>22</v>
      </c>
      <c r="M1084" s="14" t="n">
        <v>0</v>
      </c>
      <c r="N1084" s="13" t="n">
        <v>563.56</v>
      </c>
      <c r="O1084" s="13" t="n">
        <f aca="false">K1084*L1084*(1-M1084)</f>
        <v>14662.12</v>
      </c>
      <c r="P1084" s="13" t="n">
        <f aca="false">N1084*L1084</f>
        <v>12398.32</v>
      </c>
      <c r="Q1084" s="13" t="n">
        <f aca="false">O1084-P1084</f>
        <v>2263.8</v>
      </c>
      <c r="R1084" s="11" t="s">
        <v>46</v>
      </c>
      <c r="S1084" s="11" t="s">
        <v>124</v>
      </c>
    </row>
    <row r="1085" customFormat="false" ht="15" hidden="false" customHeight="true" outlineLevel="0" collapsed="false">
      <c r="A1085" s="15" t="s">
        <v>1221</v>
      </c>
      <c r="B1085" s="16" t="n">
        <v>46013</v>
      </c>
      <c r="C1085" s="15" t="s">
        <v>49</v>
      </c>
      <c r="D1085" s="15" t="s">
        <v>50</v>
      </c>
      <c r="E1085" s="15" t="s">
        <v>50</v>
      </c>
      <c r="F1085" s="15" t="s">
        <v>68</v>
      </c>
      <c r="G1085" s="15" t="s">
        <v>77</v>
      </c>
      <c r="H1085" s="15" t="s">
        <v>53</v>
      </c>
      <c r="I1085" s="15" t="s">
        <v>94</v>
      </c>
      <c r="J1085" s="15" t="s">
        <v>95</v>
      </c>
      <c r="K1085" s="17" t="n">
        <v>41.65</v>
      </c>
      <c r="L1085" s="15" t="n">
        <v>112</v>
      </c>
      <c r="M1085" s="18" t="n">
        <v>0.05</v>
      </c>
      <c r="N1085" s="17" t="n">
        <v>28.28</v>
      </c>
      <c r="O1085" s="17" t="n">
        <f aca="false">K1085*L1085*(1-M1085)</f>
        <v>4431.56</v>
      </c>
      <c r="P1085" s="17" t="n">
        <f aca="false">N1085*L1085</f>
        <v>3167.36</v>
      </c>
      <c r="Q1085" s="17" t="n">
        <f aca="false">O1085-P1085</f>
        <v>1264.2</v>
      </c>
      <c r="R1085" s="15" t="s">
        <v>46</v>
      </c>
      <c r="S1085" s="15" t="s">
        <v>72</v>
      </c>
    </row>
    <row r="1086" customFormat="false" ht="15" hidden="false" customHeight="true" outlineLevel="0" collapsed="false">
      <c r="A1086" s="11" t="s">
        <v>1222</v>
      </c>
      <c r="B1086" s="12" t="n">
        <v>46014</v>
      </c>
      <c r="C1086" s="11" t="s">
        <v>65</v>
      </c>
      <c r="D1086" s="11" t="s">
        <v>149</v>
      </c>
      <c r="E1086" s="11" t="s">
        <v>150</v>
      </c>
      <c r="F1086" s="11" t="s">
        <v>99</v>
      </c>
      <c r="G1086" s="11" t="s">
        <v>52</v>
      </c>
      <c r="H1086" s="11" t="s">
        <v>43</v>
      </c>
      <c r="I1086" s="11" t="s">
        <v>61</v>
      </c>
      <c r="J1086" s="11" t="s">
        <v>147</v>
      </c>
      <c r="K1086" s="13" t="n">
        <v>366.28</v>
      </c>
      <c r="L1086" s="11" t="n">
        <v>16</v>
      </c>
      <c r="M1086" s="14" t="n">
        <v>0</v>
      </c>
      <c r="N1086" s="13" t="n">
        <v>112.68</v>
      </c>
      <c r="O1086" s="13" t="n">
        <f aca="false">K1086*L1086*(1-M1086)</f>
        <v>5860.48</v>
      </c>
      <c r="P1086" s="13" t="n">
        <f aca="false">N1086*L1086</f>
        <v>1802.88</v>
      </c>
      <c r="Q1086" s="13" t="n">
        <f aca="false">O1086-P1086</f>
        <v>4057.6</v>
      </c>
      <c r="R1086" s="11" t="s">
        <v>63</v>
      </c>
      <c r="S1086" s="11" t="s">
        <v>47</v>
      </c>
    </row>
    <row r="1087" customFormat="false" ht="15" hidden="false" customHeight="true" outlineLevel="0" collapsed="false">
      <c r="A1087" s="15" t="s">
        <v>1223</v>
      </c>
      <c r="B1087" s="16" t="n">
        <v>46015</v>
      </c>
      <c r="C1087" s="15" t="s">
        <v>38</v>
      </c>
      <c r="D1087" s="15" t="s">
        <v>39</v>
      </c>
      <c r="E1087" s="15" t="s">
        <v>40</v>
      </c>
      <c r="F1087" s="15" t="s">
        <v>60</v>
      </c>
      <c r="G1087" s="15" t="s">
        <v>52</v>
      </c>
      <c r="H1087" s="15" t="s">
        <v>43</v>
      </c>
      <c r="I1087" s="15" t="s">
        <v>44</v>
      </c>
      <c r="J1087" s="15" t="s">
        <v>45</v>
      </c>
      <c r="K1087" s="17" t="n">
        <v>150.54</v>
      </c>
      <c r="L1087" s="15" t="n">
        <v>28</v>
      </c>
      <c r="M1087" s="18" t="n">
        <v>0.1</v>
      </c>
      <c r="N1087" s="17" t="n">
        <v>61.55</v>
      </c>
      <c r="O1087" s="17" t="n">
        <f aca="false">K1087*L1087*(1-M1087)</f>
        <v>3793.608</v>
      </c>
      <c r="P1087" s="17" t="n">
        <f aca="false">N1087*L1087</f>
        <v>1723.4</v>
      </c>
      <c r="Q1087" s="17" t="n">
        <f aca="false">O1087-P1087</f>
        <v>2070.208</v>
      </c>
      <c r="R1087" s="15" t="s">
        <v>46</v>
      </c>
      <c r="S1087" s="15" t="s">
        <v>47</v>
      </c>
    </row>
    <row r="1088" customFormat="false" ht="15" hidden="false" customHeight="true" outlineLevel="0" collapsed="false">
      <c r="A1088" s="11" t="s">
        <v>1224</v>
      </c>
      <c r="B1088" s="12" t="n">
        <v>46016</v>
      </c>
      <c r="C1088" s="11" t="s">
        <v>49</v>
      </c>
      <c r="D1088" s="11" t="s">
        <v>97</v>
      </c>
      <c r="E1088" s="11" t="s">
        <v>98</v>
      </c>
      <c r="F1088" s="11" t="s">
        <v>123</v>
      </c>
      <c r="G1088" s="11" t="s">
        <v>52</v>
      </c>
      <c r="H1088" s="11" t="s">
        <v>43</v>
      </c>
      <c r="I1088" s="11" t="s">
        <v>61</v>
      </c>
      <c r="J1088" s="11" t="s">
        <v>147</v>
      </c>
      <c r="K1088" s="13" t="n">
        <v>399.36</v>
      </c>
      <c r="L1088" s="11" t="n">
        <v>9</v>
      </c>
      <c r="M1088" s="14" t="n">
        <v>0.05</v>
      </c>
      <c r="N1088" s="13" t="n">
        <v>119.94</v>
      </c>
      <c r="O1088" s="13" t="n">
        <f aca="false">K1088*L1088*(1-M1088)</f>
        <v>3414.528</v>
      </c>
      <c r="P1088" s="13" t="n">
        <f aca="false">N1088*L1088</f>
        <v>1079.46</v>
      </c>
      <c r="Q1088" s="13" t="n">
        <f aca="false">O1088-P1088</f>
        <v>2335.068</v>
      </c>
      <c r="R1088" s="11" t="s">
        <v>63</v>
      </c>
      <c r="S1088" s="11" t="s">
        <v>187</v>
      </c>
    </row>
    <row r="1089" customFormat="false" ht="15" hidden="false" customHeight="true" outlineLevel="0" collapsed="false">
      <c r="A1089" s="15" t="s">
        <v>1225</v>
      </c>
      <c r="B1089" s="16" t="n">
        <v>46016</v>
      </c>
      <c r="C1089" s="15" t="s">
        <v>49</v>
      </c>
      <c r="D1089" s="15" t="s">
        <v>97</v>
      </c>
      <c r="E1089" s="15" t="s">
        <v>108</v>
      </c>
      <c r="F1089" s="15" t="s">
        <v>51</v>
      </c>
      <c r="G1089" s="15" t="s">
        <v>52</v>
      </c>
      <c r="H1089" s="15" t="s">
        <v>78</v>
      </c>
      <c r="I1089" s="15" t="s">
        <v>154</v>
      </c>
      <c r="J1089" s="15" t="s">
        <v>186</v>
      </c>
      <c r="K1089" s="17" t="n">
        <v>724.6</v>
      </c>
      <c r="L1089" s="15" t="n">
        <v>4</v>
      </c>
      <c r="M1089" s="18" t="n">
        <v>0.05</v>
      </c>
      <c r="N1089" s="17" t="n">
        <v>566.37</v>
      </c>
      <c r="O1089" s="17" t="n">
        <f aca="false">K1089*L1089*(1-M1089)</f>
        <v>2753.48</v>
      </c>
      <c r="P1089" s="17" t="n">
        <f aca="false">N1089*L1089</f>
        <v>2265.48</v>
      </c>
      <c r="Q1089" s="17" t="n">
        <f aca="false">O1089-P1089</f>
        <v>488</v>
      </c>
      <c r="R1089" s="15" t="s">
        <v>63</v>
      </c>
      <c r="S1089" s="15" t="s">
        <v>124</v>
      </c>
    </row>
    <row r="1090" customFormat="false" ht="15" hidden="false" customHeight="true" outlineLevel="0" collapsed="false">
      <c r="A1090" s="11" t="s">
        <v>1226</v>
      </c>
      <c r="B1090" s="12" t="n">
        <v>46016</v>
      </c>
      <c r="C1090" s="11" t="s">
        <v>49</v>
      </c>
      <c r="D1090" s="11" t="s">
        <v>50</v>
      </c>
      <c r="E1090" s="11" t="s">
        <v>50</v>
      </c>
      <c r="F1090" s="11" t="s">
        <v>51</v>
      </c>
      <c r="G1090" s="11" t="s">
        <v>130</v>
      </c>
      <c r="H1090" s="11" t="s">
        <v>84</v>
      </c>
      <c r="I1090" s="11" t="s">
        <v>100</v>
      </c>
      <c r="J1090" s="11" t="s">
        <v>139</v>
      </c>
      <c r="K1090" s="13" t="n">
        <v>1016.37</v>
      </c>
      <c r="L1090" s="11" t="n">
        <v>6</v>
      </c>
      <c r="M1090" s="14" t="n">
        <v>0</v>
      </c>
      <c r="N1090" s="13" t="n">
        <v>792.55</v>
      </c>
      <c r="O1090" s="13" t="n">
        <f aca="false">K1090*L1090*(1-M1090)</f>
        <v>6098.22</v>
      </c>
      <c r="P1090" s="13" t="n">
        <f aca="false">N1090*L1090</f>
        <v>4755.3</v>
      </c>
      <c r="Q1090" s="13" t="n">
        <f aca="false">O1090-P1090</f>
        <v>1342.92</v>
      </c>
      <c r="R1090" s="11" t="s">
        <v>63</v>
      </c>
      <c r="S1090" s="11" t="s">
        <v>187</v>
      </c>
    </row>
    <row r="1091" customFormat="false" ht="15" hidden="false" customHeight="true" outlineLevel="0" collapsed="false">
      <c r="A1091" s="15" t="s">
        <v>1227</v>
      </c>
      <c r="B1091" s="16" t="n">
        <v>46017</v>
      </c>
      <c r="C1091" s="15" t="s">
        <v>65</v>
      </c>
      <c r="D1091" s="15" t="s">
        <v>66</v>
      </c>
      <c r="E1091" s="15" t="s">
        <v>67</v>
      </c>
      <c r="F1091" s="15" t="s">
        <v>118</v>
      </c>
      <c r="G1091" s="15" t="s">
        <v>42</v>
      </c>
      <c r="H1091" s="15" t="s">
        <v>43</v>
      </c>
      <c r="I1091" s="15" t="s">
        <v>61</v>
      </c>
      <c r="J1091" s="15" t="s">
        <v>147</v>
      </c>
      <c r="K1091" s="17" t="n">
        <v>324.4</v>
      </c>
      <c r="L1091" s="15" t="n">
        <v>38</v>
      </c>
      <c r="M1091" s="18" t="n">
        <v>0.1</v>
      </c>
      <c r="N1091" s="17" t="n">
        <v>130.68</v>
      </c>
      <c r="O1091" s="17" t="n">
        <f aca="false">K1091*L1091*(1-M1091)</f>
        <v>11094.48</v>
      </c>
      <c r="P1091" s="17" t="n">
        <f aca="false">N1091*L1091</f>
        <v>4965.84</v>
      </c>
      <c r="Q1091" s="17" t="n">
        <f aca="false">O1091-P1091</f>
        <v>6128.64</v>
      </c>
      <c r="R1091" s="15" t="s">
        <v>46</v>
      </c>
      <c r="S1091" s="15" t="s">
        <v>47</v>
      </c>
    </row>
    <row r="1092" customFormat="false" ht="15" hidden="false" customHeight="true" outlineLevel="0" collapsed="false">
      <c r="A1092" s="11" t="s">
        <v>1228</v>
      </c>
      <c r="B1092" s="12" t="n">
        <v>46018</v>
      </c>
      <c r="C1092" s="11" t="s">
        <v>57</v>
      </c>
      <c r="D1092" s="11" t="s">
        <v>58</v>
      </c>
      <c r="E1092" s="11" t="s">
        <v>59</v>
      </c>
      <c r="F1092" s="11" t="s">
        <v>60</v>
      </c>
      <c r="G1092" s="11" t="s">
        <v>77</v>
      </c>
      <c r="H1092" s="11" t="s">
        <v>84</v>
      </c>
      <c r="I1092" s="11" t="s">
        <v>85</v>
      </c>
      <c r="J1092" s="11" t="s">
        <v>90</v>
      </c>
      <c r="K1092" s="13" t="n">
        <v>430.41</v>
      </c>
      <c r="L1092" s="11" t="n">
        <v>15</v>
      </c>
      <c r="M1092" s="14" t="n">
        <v>0</v>
      </c>
      <c r="N1092" s="13" t="n">
        <v>318.1</v>
      </c>
      <c r="O1092" s="13" t="n">
        <f aca="false">K1092*L1092*(1-M1092)</f>
        <v>6456.15</v>
      </c>
      <c r="P1092" s="13" t="n">
        <f aca="false">N1092*L1092</f>
        <v>4771.5</v>
      </c>
      <c r="Q1092" s="13" t="n">
        <f aca="false">O1092-P1092</f>
        <v>1684.65</v>
      </c>
      <c r="R1092" s="11" t="s">
        <v>46</v>
      </c>
      <c r="S1092" s="11" t="s">
        <v>124</v>
      </c>
    </row>
    <row r="1093" customFormat="false" ht="15" hidden="false" customHeight="true" outlineLevel="0" collapsed="false">
      <c r="A1093" s="15" t="s">
        <v>1229</v>
      </c>
      <c r="B1093" s="16" t="n">
        <v>46019</v>
      </c>
      <c r="C1093" s="15" t="s">
        <v>49</v>
      </c>
      <c r="D1093" s="15" t="s">
        <v>50</v>
      </c>
      <c r="E1093" s="15" t="s">
        <v>50</v>
      </c>
      <c r="F1093" s="15" t="s">
        <v>41</v>
      </c>
      <c r="G1093" s="15" t="s">
        <v>130</v>
      </c>
      <c r="H1093" s="15" t="s">
        <v>78</v>
      </c>
      <c r="I1093" s="15" t="s">
        <v>79</v>
      </c>
      <c r="J1093" s="15" t="s">
        <v>80</v>
      </c>
      <c r="K1093" s="17" t="n">
        <v>3972.18</v>
      </c>
      <c r="L1093" s="15" t="n">
        <v>14</v>
      </c>
      <c r="M1093" s="18" t="n">
        <v>0.15</v>
      </c>
      <c r="N1093" s="17" t="n">
        <v>3463.02</v>
      </c>
      <c r="O1093" s="17" t="n">
        <f aca="false">K1093*L1093*(1-M1093)</f>
        <v>47268.942</v>
      </c>
      <c r="P1093" s="17" t="n">
        <f aca="false">N1093*L1093</f>
        <v>48482.28</v>
      </c>
      <c r="Q1093" s="17" t="n">
        <f aca="false">O1093-P1093</f>
        <v>-1213.338</v>
      </c>
      <c r="R1093" s="15" t="s">
        <v>46</v>
      </c>
      <c r="S1093" s="15" t="s">
        <v>124</v>
      </c>
    </row>
    <row r="1094" customFormat="false" ht="15" hidden="false" customHeight="true" outlineLevel="0" collapsed="false">
      <c r="A1094" s="11" t="s">
        <v>1230</v>
      </c>
      <c r="B1094" s="12" t="n">
        <v>46020</v>
      </c>
      <c r="C1094" s="11" t="s">
        <v>65</v>
      </c>
      <c r="D1094" s="11" t="s">
        <v>66</v>
      </c>
      <c r="E1094" s="11" t="s">
        <v>67</v>
      </c>
      <c r="F1094" s="11" t="s">
        <v>123</v>
      </c>
      <c r="G1094" s="11" t="s">
        <v>42</v>
      </c>
      <c r="H1094" s="11" t="s">
        <v>43</v>
      </c>
      <c r="I1094" s="11" t="s">
        <v>44</v>
      </c>
      <c r="J1094" s="11" t="s">
        <v>45</v>
      </c>
      <c r="K1094" s="13" t="n">
        <v>311.18</v>
      </c>
      <c r="L1094" s="11" t="n">
        <v>10</v>
      </c>
      <c r="M1094" s="14" t="n">
        <v>0.05</v>
      </c>
      <c r="N1094" s="13" t="n">
        <v>114.06</v>
      </c>
      <c r="O1094" s="13" t="n">
        <f aca="false">K1094*L1094*(1-M1094)</f>
        <v>2956.21</v>
      </c>
      <c r="P1094" s="13" t="n">
        <f aca="false">N1094*L1094</f>
        <v>1140.6</v>
      </c>
      <c r="Q1094" s="13" t="n">
        <f aca="false">O1094-P1094</f>
        <v>1815.61</v>
      </c>
      <c r="R1094" s="11" t="s">
        <v>63</v>
      </c>
      <c r="S1094" s="11" t="s">
        <v>72</v>
      </c>
    </row>
    <row r="1095" customFormat="false" ht="15" hidden="false" customHeight="true" outlineLevel="0" collapsed="false">
      <c r="A1095" s="15" t="s">
        <v>1231</v>
      </c>
      <c r="B1095" s="16" t="n">
        <v>46020</v>
      </c>
      <c r="C1095" s="15" t="s">
        <v>49</v>
      </c>
      <c r="D1095" s="15" t="s">
        <v>97</v>
      </c>
      <c r="E1095" s="15" t="s">
        <v>112</v>
      </c>
      <c r="F1095" s="15" t="s">
        <v>135</v>
      </c>
      <c r="G1095" s="15" t="s">
        <v>52</v>
      </c>
      <c r="H1095" s="15" t="s">
        <v>53</v>
      </c>
      <c r="I1095" s="15" t="s">
        <v>94</v>
      </c>
      <c r="J1095" s="15" t="s">
        <v>131</v>
      </c>
      <c r="K1095" s="17" t="n">
        <v>41.79</v>
      </c>
      <c r="L1095" s="15" t="n">
        <v>86</v>
      </c>
      <c r="M1095" s="18" t="n">
        <v>0</v>
      </c>
      <c r="N1095" s="17" t="n">
        <v>23.27</v>
      </c>
      <c r="O1095" s="17" t="n">
        <f aca="false">K1095*L1095*(1-M1095)</f>
        <v>3593.94</v>
      </c>
      <c r="P1095" s="17" t="n">
        <f aca="false">N1095*L1095</f>
        <v>2001.22</v>
      </c>
      <c r="Q1095" s="17" t="n">
        <f aca="false">O1095-P1095</f>
        <v>1592.72</v>
      </c>
      <c r="R1095" s="15" t="s">
        <v>63</v>
      </c>
      <c r="S1095" s="15" t="s">
        <v>47</v>
      </c>
    </row>
    <row r="1096" customFormat="false" ht="15" hidden="false" customHeight="true" outlineLevel="0" collapsed="false">
      <c r="A1096" s="11" t="s">
        <v>1232</v>
      </c>
      <c r="B1096" s="12" t="n">
        <v>46020</v>
      </c>
      <c r="C1096" s="11" t="s">
        <v>57</v>
      </c>
      <c r="D1096" s="11" t="s">
        <v>162</v>
      </c>
      <c r="E1096" s="11" t="s">
        <v>163</v>
      </c>
      <c r="F1096" s="11" t="s">
        <v>60</v>
      </c>
      <c r="G1096" s="11" t="s">
        <v>52</v>
      </c>
      <c r="H1096" s="11" t="s">
        <v>53</v>
      </c>
      <c r="I1096" s="11" t="s">
        <v>94</v>
      </c>
      <c r="J1096" s="11" t="s">
        <v>131</v>
      </c>
      <c r="K1096" s="13" t="n">
        <v>49.22</v>
      </c>
      <c r="L1096" s="11" t="n">
        <v>66</v>
      </c>
      <c r="M1096" s="14" t="n">
        <v>0.05</v>
      </c>
      <c r="N1096" s="13" t="n">
        <v>32.86</v>
      </c>
      <c r="O1096" s="13" t="n">
        <f aca="false">K1096*L1096*(1-M1096)</f>
        <v>3086.094</v>
      </c>
      <c r="P1096" s="13" t="n">
        <f aca="false">N1096*L1096</f>
        <v>2168.76</v>
      </c>
      <c r="Q1096" s="13" t="n">
        <f aca="false">O1096-P1096</f>
        <v>917.334</v>
      </c>
      <c r="R1096" s="11" t="s">
        <v>71</v>
      </c>
      <c r="S1096" s="11" t="s">
        <v>47</v>
      </c>
    </row>
    <row r="1097" customFormat="false" ht="15" hidden="false" customHeight="true" outlineLevel="0" collapsed="false">
      <c r="A1097" s="15" t="s">
        <v>1233</v>
      </c>
      <c r="B1097" s="16" t="n">
        <v>46020</v>
      </c>
      <c r="C1097" s="15" t="s">
        <v>74</v>
      </c>
      <c r="D1097" s="15" t="s">
        <v>171</v>
      </c>
      <c r="E1097" s="15" t="s">
        <v>172</v>
      </c>
      <c r="F1097" s="15" t="s">
        <v>68</v>
      </c>
      <c r="G1097" s="15" t="s">
        <v>77</v>
      </c>
      <c r="H1097" s="15" t="s">
        <v>78</v>
      </c>
      <c r="I1097" s="15" t="s">
        <v>143</v>
      </c>
      <c r="J1097" s="15" t="s">
        <v>144</v>
      </c>
      <c r="K1097" s="17" t="n">
        <v>1771.58</v>
      </c>
      <c r="L1097" s="15" t="n">
        <v>1</v>
      </c>
      <c r="M1097" s="18" t="n">
        <v>0.05</v>
      </c>
      <c r="N1097" s="17" t="n">
        <v>1483.48</v>
      </c>
      <c r="O1097" s="17" t="n">
        <f aca="false">K1097*L1097*(1-M1097)</f>
        <v>1683.001</v>
      </c>
      <c r="P1097" s="17" t="n">
        <f aca="false">N1097*L1097</f>
        <v>1483.48</v>
      </c>
      <c r="Q1097" s="17" t="n">
        <f aca="false">O1097-P1097</f>
        <v>199.521</v>
      </c>
      <c r="R1097" s="15" t="s">
        <v>167</v>
      </c>
      <c r="S1097" s="15" t="s">
        <v>47</v>
      </c>
    </row>
    <row r="1098" customFormat="false" ht="15" hidden="false" customHeight="true" outlineLevel="0" collapsed="false">
      <c r="A1098" s="11" t="s">
        <v>1234</v>
      </c>
      <c r="B1098" s="12" t="n">
        <v>46021</v>
      </c>
      <c r="C1098" s="11" t="s">
        <v>74</v>
      </c>
      <c r="D1098" s="11" t="s">
        <v>171</v>
      </c>
      <c r="E1098" s="11" t="s">
        <v>172</v>
      </c>
      <c r="F1098" s="11" t="s">
        <v>41</v>
      </c>
      <c r="G1098" s="11" t="s">
        <v>130</v>
      </c>
      <c r="H1098" s="11" t="s">
        <v>53</v>
      </c>
      <c r="I1098" s="11" t="s">
        <v>54</v>
      </c>
      <c r="J1098" s="11" t="s">
        <v>113</v>
      </c>
      <c r="K1098" s="13" t="n">
        <v>23.56</v>
      </c>
      <c r="L1098" s="11" t="n">
        <v>42</v>
      </c>
      <c r="M1098" s="14" t="n">
        <v>0</v>
      </c>
      <c r="N1098" s="13" t="n">
        <v>15.76</v>
      </c>
      <c r="O1098" s="13" t="n">
        <f aca="false">K1098*L1098*(1-M1098)</f>
        <v>989.52</v>
      </c>
      <c r="P1098" s="13" t="n">
        <f aca="false">N1098*L1098</f>
        <v>661.92</v>
      </c>
      <c r="Q1098" s="13" t="n">
        <f aca="false">O1098-P1098</f>
        <v>327.6</v>
      </c>
      <c r="R1098" s="11" t="s">
        <v>167</v>
      </c>
      <c r="S1098" s="11" t="s">
        <v>47</v>
      </c>
    </row>
    <row r="1099" customFormat="false" ht="15" hidden="false" customHeight="true" outlineLevel="0" collapsed="false">
      <c r="A1099" s="15" t="s">
        <v>1235</v>
      </c>
      <c r="B1099" s="16" t="n">
        <v>46021</v>
      </c>
      <c r="C1099" s="15" t="s">
        <v>49</v>
      </c>
      <c r="D1099" s="15" t="s">
        <v>50</v>
      </c>
      <c r="E1099" s="15" t="s">
        <v>50</v>
      </c>
      <c r="F1099" s="15" t="s">
        <v>99</v>
      </c>
      <c r="G1099" s="15" t="s">
        <v>77</v>
      </c>
      <c r="H1099" s="15" t="s">
        <v>78</v>
      </c>
      <c r="I1099" s="15" t="s">
        <v>79</v>
      </c>
      <c r="J1099" s="15" t="s">
        <v>242</v>
      </c>
      <c r="K1099" s="17" t="n">
        <v>5117.25</v>
      </c>
      <c r="L1099" s="15" t="n">
        <v>4</v>
      </c>
      <c r="M1099" s="18" t="n">
        <v>0.05</v>
      </c>
      <c r="N1099" s="17" t="n">
        <v>4502.28</v>
      </c>
      <c r="O1099" s="17" t="n">
        <f aca="false">K1099*L1099*(1-M1099)</f>
        <v>19445.55</v>
      </c>
      <c r="P1099" s="17" t="n">
        <f aca="false">N1099*L1099</f>
        <v>18009.12</v>
      </c>
      <c r="Q1099" s="17" t="n">
        <f aca="false">O1099-P1099</f>
        <v>1436.43</v>
      </c>
      <c r="R1099" s="15" t="s">
        <v>114</v>
      </c>
      <c r="S1099" s="15" t="s">
        <v>47</v>
      </c>
    </row>
    <row r="1100" customFormat="false" ht="15" hidden="false" customHeight="true" outlineLevel="0" collapsed="false">
      <c r="A1100" s="11" t="s">
        <v>1236</v>
      </c>
      <c r="B1100" s="12" t="n">
        <v>46021</v>
      </c>
      <c r="C1100" s="11" t="s">
        <v>49</v>
      </c>
      <c r="D1100" s="11" t="s">
        <v>50</v>
      </c>
      <c r="E1100" s="11" t="s">
        <v>50</v>
      </c>
      <c r="F1100" s="11" t="s">
        <v>123</v>
      </c>
      <c r="G1100" s="11" t="s">
        <v>130</v>
      </c>
      <c r="H1100" s="11" t="s">
        <v>53</v>
      </c>
      <c r="I1100" s="11" t="s">
        <v>94</v>
      </c>
      <c r="J1100" s="11" t="s">
        <v>131</v>
      </c>
      <c r="K1100" s="13" t="n">
        <v>43.25</v>
      </c>
      <c r="L1100" s="11" t="n">
        <v>32</v>
      </c>
      <c r="M1100" s="14" t="n">
        <v>0</v>
      </c>
      <c r="N1100" s="13" t="n">
        <v>26.84</v>
      </c>
      <c r="O1100" s="13" t="n">
        <f aca="false">K1100*L1100*(1-M1100)</f>
        <v>1384</v>
      </c>
      <c r="P1100" s="13" t="n">
        <f aca="false">N1100*L1100</f>
        <v>858.88</v>
      </c>
      <c r="Q1100" s="13" t="n">
        <f aca="false">O1100-P1100</f>
        <v>525.12</v>
      </c>
      <c r="R1100" s="11" t="s">
        <v>63</v>
      </c>
      <c r="S1100" s="11" t="s">
        <v>47</v>
      </c>
    </row>
    <row r="1101" customFormat="false" ht="15" hidden="false" customHeight="true" outlineLevel="0" collapsed="false">
      <c r="A1101" s="15" t="s">
        <v>1237</v>
      </c>
      <c r="B1101" s="16" t="n">
        <v>46022</v>
      </c>
      <c r="C1101" s="15" t="s">
        <v>38</v>
      </c>
      <c r="D1101" s="15" t="s">
        <v>39</v>
      </c>
      <c r="E1101" s="15" t="s">
        <v>40</v>
      </c>
      <c r="F1101" s="15" t="s">
        <v>68</v>
      </c>
      <c r="G1101" s="15" t="s">
        <v>52</v>
      </c>
      <c r="H1101" s="15" t="s">
        <v>78</v>
      </c>
      <c r="I1101" s="15" t="s">
        <v>79</v>
      </c>
      <c r="J1101" s="15" t="s">
        <v>80</v>
      </c>
      <c r="K1101" s="17" t="n">
        <v>3494.6</v>
      </c>
      <c r="L1101" s="15" t="n">
        <v>13</v>
      </c>
      <c r="M1101" s="18" t="n">
        <v>0.1</v>
      </c>
      <c r="N1101" s="17" t="n">
        <v>2801.42</v>
      </c>
      <c r="O1101" s="17" t="n">
        <f aca="false">K1101*L1101*(1-M1101)</f>
        <v>40886.82</v>
      </c>
      <c r="P1101" s="17" t="n">
        <f aca="false">N1101*L1101</f>
        <v>36418.46</v>
      </c>
      <c r="Q1101" s="17" t="n">
        <f aca="false">O1101-P1101</f>
        <v>4468.36</v>
      </c>
      <c r="R1101" s="15" t="s">
        <v>63</v>
      </c>
      <c r="S1101" s="15" t="s">
        <v>47</v>
      </c>
    </row>
  </sheetData>
  <autoFilter ref="A1:S1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78"/>
    <col collapsed="false" customWidth="true" hidden="false" outlineLevel="0" max="4" min="4" style="1" width="4"/>
  </cols>
  <sheetData>
    <row r="1" customFormat="false" ht="17.25" hidden="false" customHeight="true" outlineLevel="0" collapsed="false">
      <c r="A1" s="19" t="s">
        <v>1238</v>
      </c>
      <c r="B1" s="19"/>
      <c r="C1" s="19"/>
      <c r="D1" s="19"/>
    </row>
    <row r="3" customFormat="false" ht="15" hidden="false" customHeight="true" outlineLevel="0" collapsed="false">
      <c r="A3" s="20" t="s">
        <v>1239</v>
      </c>
      <c r="B3" s="20" t="s">
        <v>1240</v>
      </c>
      <c r="C3" s="20" t="s">
        <v>1241</v>
      </c>
    </row>
    <row r="4" customFormat="false" ht="15" hidden="false" customHeight="true" outlineLevel="0" collapsed="false">
      <c r="A4" s="21" t="s">
        <v>18</v>
      </c>
      <c r="B4" s="22" t="s">
        <v>1242</v>
      </c>
      <c r="C4" s="22" t="s">
        <v>1243</v>
      </c>
    </row>
    <row r="5" customFormat="false" ht="15" hidden="false" customHeight="true" outlineLevel="0" collapsed="false">
      <c r="A5" s="23" t="s">
        <v>19</v>
      </c>
      <c r="B5" s="24" t="s">
        <v>1244</v>
      </c>
      <c r="C5" s="24" t="s">
        <v>1245</v>
      </c>
    </row>
    <row r="6" customFormat="false" ht="15" hidden="false" customHeight="true" outlineLevel="0" collapsed="false">
      <c r="A6" s="21" t="s">
        <v>20</v>
      </c>
      <c r="B6" s="22" t="s">
        <v>1242</v>
      </c>
      <c r="C6" s="22" t="s">
        <v>1246</v>
      </c>
    </row>
    <row r="7" customFormat="false" ht="15" hidden="false" customHeight="true" outlineLevel="0" collapsed="false">
      <c r="A7" s="23" t="s">
        <v>21</v>
      </c>
      <c r="B7" s="24" t="s">
        <v>1242</v>
      </c>
      <c r="C7" s="24" t="s">
        <v>1247</v>
      </c>
    </row>
    <row r="8" customFormat="false" ht="15" hidden="false" customHeight="true" outlineLevel="0" collapsed="false">
      <c r="A8" s="21" t="s">
        <v>22</v>
      </c>
      <c r="B8" s="22" t="s">
        <v>1242</v>
      </c>
      <c r="C8" s="22" t="s">
        <v>1248</v>
      </c>
    </row>
    <row r="9" customFormat="false" ht="15" hidden="false" customHeight="true" outlineLevel="0" collapsed="false">
      <c r="A9" s="23" t="s">
        <v>23</v>
      </c>
      <c r="B9" s="24" t="s">
        <v>1242</v>
      </c>
      <c r="C9" s="24" t="s">
        <v>1249</v>
      </c>
    </row>
    <row r="10" customFormat="false" ht="15" hidden="false" customHeight="true" outlineLevel="0" collapsed="false">
      <c r="A10" s="21" t="s">
        <v>24</v>
      </c>
      <c r="B10" s="22" t="s">
        <v>1242</v>
      </c>
      <c r="C10" s="22" t="s">
        <v>1250</v>
      </c>
    </row>
    <row r="11" customFormat="false" ht="15" hidden="false" customHeight="true" outlineLevel="0" collapsed="false">
      <c r="A11" s="23" t="s">
        <v>25</v>
      </c>
      <c r="B11" s="24" t="s">
        <v>1242</v>
      </c>
      <c r="C11" s="24" t="s">
        <v>1251</v>
      </c>
    </row>
    <row r="12" customFormat="false" ht="15" hidden="false" customHeight="true" outlineLevel="0" collapsed="false">
      <c r="A12" s="21" t="s">
        <v>26</v>
      </c>
      <c r="B12" s="22" t="s">
        <v>1242</v>
      </c>
      <c r="C12" s="22" t="s">
        <v>1252</v>
      </c>
    </row>
    <row r="13" customFormat="false" ht="15" hidden="false" customHeight="true" outlineLevel="0" collapsed="false">
      <c r="A13" s="23" t="s">
        <v>27</v>
      </c>
      <c r="B13" s="24" t="s">
        <v>1242</v>
      </c>
      <c r="C13" s="24" t="s">
        <v>1253</v>
      </c>
    </row>
    <row r="14" customFormat="false" ht="15" hidden="false" customHeight="true" outlineLevel="0" collapsed="false">
      <c r="A14" s="21" t="s">
        <v>28</v>
      </c>
      <c r="B14" s="22" t="s">
        <v>1254</v>
      </c>
      <c r="C14" s="22" t="s">
        <v>1255</v>
      </c>
    </row>
    <row r="15" customFormat="false" ht="15" hidden="false" customHeight="true" outlineLevel="0" collapsed="false">
      <c r="A15" s="23" t="s">
        <v>29</v>
      </c>
      <c r="B15" s="24" t="s">
        <v>1254</v>
      </c>
      <c r="C15" s="24" t="s">
        <v>1256</v>
      </c>
    </row>
    <row r="16" customFormat="false" ht="15" hidden="false" customHeight="true" outlineLevel="0" collapsed="false">
      <c r="A16" s="21" t="s">
        <v>30</v>
      </c>
      <c r="B16" s="22" t="s">
        <v>1257</v>
      </c>
      <c r="C16" s="22" t="s">
        <v>1258</v>
      </c>
    </row>
    <row r="17" customFormat="false" ht="15" hidden="false" customHeight="true" outlineLevel="0" collapsed="false">
      <c r="A17" s="23" t="s">
        <v>31</v>
      </c>
      <c r="B17" s="24" t="s">
        <v>1254</v>
      </c>
      <c r="C17" s="24" t="s">
        <v>1259</v>
      </c>
    </row>
    <row r="18" customFormat="false" ht="15" hidden="false" customHeight="true" outlineLevel="0" collapsed="false">
      <c r="A18" s="21" t="s">
        <v>32</v>
      </c>
      <c r="B18" s="22" t="s">
        <v>1260</v>
      </c>
      <c r="C18" s="22" t="s">
        <v>1261</v>
      </c>
    </row>
    <row r="19" customFormat="false" ht="15" hidden="false" customHeight="true" outlineLevel="0" collapsed="false">
      <c r="A19" s="23" t="s">
        <v>33</v>
      </c>
      <c r="B19" s="24" t="s">
        <v>1260</v>
      </c>
      <c r="C19" s="24" t="s">
        <v>1262</v>
      </c>
    </row>
    <row r="20" customFormat="false" ht="15" hidden="false" customHeight="true" outlineLevel="0" collapsed="false">
      <c r="A20" s="21" t="s">
        <v>34</v>
      </c>
      <c r="B20" s="22" t="s">
        <v>1260</v>
      </c>
      <c r="C20" s="22" t="s">
        <v>1263</v>
      </c>
    </row>
    <row r="21" customFormat="false" ht="15" hidden="false" customHeight="true" outlineLevel="0" collapsed="false">
      <c r="A21" s="23" t="s">
        <v>35</v>
      </c>
      <c r="B21" s="24" t="s">
        <v>1242</v>
      </c>
      <c r="C21" s="24" t="s">
        <v>1264</v>
      </c>
    </row>
    <row r="22" customFormat="false" ht="15" hidden="false" customHeight="true" outlineLevel="0" collapsed="false">
      <c r="A22" s="21" t="s">
        <v>36</v>
      </c>
      <c r="B22" s="22" t="s">
        <v>1242</v>
      </c>
      <c r="C22" s="22" t="s">
        <v>1265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5" min="5" style="1" width="34"/>
  </cols>
  <sheetData>
    <row r="1" customFormat="false" ht="21.75" hidden="false" customHeight="true" outlineLevel="0" collapsed="false">
      <c r="A1" s="3" t="s">
        <v>1266</v>
      </c>
      <c r="B1" s="3"/>
      <c r="C1" s="3"/>
      <c r="D1" s="3"/>
      <c r="E1" s="3"/>
    </row>
    <row r="3" customFormat="false" ht="30" hidden="false" customHeight="true" outlineLevel="0" collapsed="false">
      <c r="A3" s="25" t="s">
        <v>1267</v>
      </c>
      <c r="B3" s="25" t="s">
        <v>1268</v>
      </c>
      <c r="C3" s="25" t="s">
        <v>1269</v>
      </c>
      <c r="D3" s="25" t="s">
        <v>1270</v>
      </c>
      <c r="E3" s="25" t="s">
        <v>1271</v>
      </c>
    </row>
    <row r="4" customFormat="false" ht="42" hidden="false" customHeight="true" outlineLevel="0" collapsed="false">
      <c r="A4" s="26" t="n">
        <v>1</v>
      </c>
      <c r="B4" s="24" t="s">
        <v>1272</v>
      </c>
      <c r="C4" s="24" t="s">
        <v>1273</v>
      </c>
      <c r="D4" s="24" t="s">
        <v>1274</v>
      </c>
      <c r="E4" s="24" t="s">
        <v>1275</v>
      </c>
    </row>
    <row r="5" customFormat="false" ht="42" hidden="false" customHeight="true" outlineLevel="0" collapsed="false">
      <c r="A5" s="27" t="n">
        <v>2</v>
      </c>
      <c r="B5" s="22" t="s">
        <v>1276</v>
      </c>
      <c r="C5" s="22" t="s">
        <v>1277</v>
      </c>
      <c r="D5" s="22" t="s">
        <v>1278</v>
      </c>
      <c r="E5" s="22" t="s">
        <v>1279</v>
      </c>
    </row>
    <row r="6" customFormat="false" ht="42" hidden="false" customHeight="true" outlineLevel="0" collapsed="false">
      <c r="A6" s="26" t="n">
        <v>3</v>
      </c>
      <c r="B6" s="24" t="s">
        <v>1280</v>
      </c>
      <c r="C6" s="24" t="s">
        <v>1281</v>
      </c>
      <c r="D6" s="24" t="s">
        <v>1282</v>
      </c>
      <c r="E6" s="24" t="s">
        <v>1283</v>
      </c>
    </row>
    <row r="7" customFormat="false" ht="42" hidden="false" customHeight="true" outlineLevel="0" collapsed="false">
      <c r="A7" s="27" t="n">
        <v>4</v>
      </c>
      <c r="B7" s="22" t="s">
        <v>1284</v>
      </c>
      <c r="C7" s="22" t="s">
        <v>1285</v>
      </c>
      <c r="D7" s="22" t="s">
        <v>1286</v>
      </c>
      <c r="E7" s="22" t="s">
        <v>1287</v>
      </c>
    </row>
    <row r="8" customFormat="false" ht="42" hidden="false" customHeight="true" outlineLevel="0" collapsed="false">
      <c r="A8" s="26" t="n">
        <v>5</v>
      </c>
      <c r="B8" s="24" t="s">
        <v>1288</v>
      </c>
      <c r="C8" s="24" t="s">
        <v>1289</v>
      </c>
      <c r="D8" s="24" t="s">
        <v>1290</v>
      </c>
      <c r="E8" s="24" t="s">
        <v>1291</v>
      </c>
    </row>
    <row r="9" customFormat="false" ht="21.75" hidden="false" customHeight="true" outlineLevel="0" collapsed="false">
      <c r="A9" s="28" t="s">
        <v>1292</v>
      </c>
      <c r="B9" s="28"/>
      <c r="C9" s="28"/>
      <c r="D9" s="28"/>
      <c r="E9" s="28"/>
    </row>
    <row r="11" customFormat="false" ht="30" hidden="false" customHeight="true" outlineLevel="0" collapsed="false">
      <c r="A11" s="25" t="s">
        <v>1267</v>
      </c>
      <c r="B11" s="25" t="s">
        <v>1268</v>
      </c>
      <c r="C11" s="25" t="s">
        <v>1269</v>
      </c>
      <c r="D11" s="25" t="s">
        <v>1270</v>
      </c>
      <c r="E11" s="25" t="s">
        <v>1271</v>
      </c>
    </row>
    <row r="12" customFormat="false" ht="42" hidden="false" customHeight="true" outlineLevel="0" collapsed="false">
      <c r="A12" s="26" t="n">
        <v>7</v>
      </c>
      <c r="B12" s="24" t="s">
        <v>1293</v>
      </c>
      <c r="C12" s="24" t="s">
        <v>1294</v>
      </c>
      <c r="D12" s="24" t="s">
        <v>1295</v>
      </c>
      <c r="E12" s="24" t="s">
        <v>1296</v>
      </c>
    </row>
    <row r="13" customFormat="false" ht="42" hidden="false" customHeight="true" outlineLevel="0" collapsed="false">
      <c r="A13" s="27" t="n">
        <v>8</v>
      </c>
      <c r="B13" s="22" t="s">
        <v>1297</v>
      </c>
      <c r="C13" s="22" t="s">
        <v>1298</v>
      </c>
      <c r="D13" s="22" t="s">
        <v>1299</v>
      </c>
      <c r="E13" s="22" t="s">
        <v>1300</v>
      </c>
    </row>
    <row r="14" customFormat="false" ht="42" hidden="false" customHeight="true" outlineLevel="0" collapsed="false">
      <c r="A14" s="26" t="n">
        <v>9</v>
      </c>
      <c r="B14" s="24" t="s">
        <v>1301</v>
      </c>
      <c r="C14" s="24" t="s">
        <v>1302</v>
      </c>
      <c r="D14" s="24" t="s">
        <v>1303</v>
      </c>
      <c r="E14" s="24" t="s">
        <v>1304</v>
      </c>
    </row>
    <row r="15" customFormat="false" ht="42" hidden="false" customHeight="true" outlineLevel="0" collapsed="false">
      <c r="A15" s="27" t="n">
        <v>10</v>
      </c>
      <c r="B15" s="22" t="s">
        <v>1305</v>
      </c>
      <c r="C15" s="22" t="s">
        <v>1306</v>
      </c>
      <c r="D15" s="22" t="s">
        <v>1307</v>
      </c>
      <c r="E15" s="22" t="s">
        <v>1308</v>
      </c>
    </row>
    <row r="16" customFormat="false" ht="42" hidden="false" customHeight="true" outlineLevel="0" collapsed="false">
      <c r="A16" s="26" t="n">
        <v>11</v>
      </c>
      <c r="B16" s="24" t="s">
        <v>1309</v>
      </c>
      <c r="C16" s="24" t="s">
        <v>1310</v>
      </c>
      <c r="D16" s="24" t="s">
        <v>1311</v>
      </c>
      <c r="E16" s="24" t="s">
        <v>1312</v>
      </c>
    </row>
    <row r="17" customFormat="false" ht="42" hidden="false" customHeight="true" outlineLevel="0" collapsed="false">
      <c r="A17" s="27" t="n">
        <v>12</v>
      </c>
      <c r="B17" s="22" t="s">
        <v>1313</v>
      </c>
      <c r="C17" s="22" t="s">
        <v>1314</v>
      </c>
      <c r="D17" s="22" t="s">
        <v>1315</v>
      </c>
      <c r="E17" s="22" t="s">
        <v>1316</v>
      </c>
    </row>
    <row r="18" customFormat="false" ht="42" hidden="false" customHeight="true" outlineLevel="0" collapsed="false">
      <c r="A18" s="26" t="n">
        <v>13</v>
      </c>
      <c r="B18" s="24" t="s">
        <v>1317</v>
      </c>
      <c r="C18" s="24" t="s">
        <v>1318</v>
      </c>
      <c r="D18" s="24" t="s">
        <v>1319</v>
      </c>
      <c r="E18" s="24" t="s">
        <v>1320</v>
      </c>
    </row>
    <row r="19" customFormat="false" ht="42" hidden="false" customHeight="true" outlineLevel="0" collapsed="false">
      <c r="A19" s="27" t="n">
        <v>14</v>
      </c>
      <c r="B19" s="22" t="s">
        <v>1321</v>
      </c>
      <c r="C19" s="22" t="s">
        <v>1322</v>
      </c>
      <c r="D19" s="22" t="s">
        <v>1323</v>
      </c>
      <c r="E19" s="22" t="s">
        <v>1324</v>
      </c>
    </row>
    <row r="20" customFormat="false" ht="42" hidden="false" customHeight="true" outlineLevel="0" collapsed="false">
      <c r="A20" s="26" t="n">
        <v>15</v>
      </c>
      <c r="B20" s="24" t="s">
        <v>1325</v>
      </c>
      <c r="C20" s="24" t="s">
        <v>1326</v>
      </c>
      <c r="D20" s="24" t="s">
        <v>1327</v>
      </c>
      <c r="E20" s="24" t="s">
        <v>1328</v>
      </c>
    </row>
    <row r="21" customFormat="false" ht="21.75" hidden="false" customHeight="true" outlineLevel="0" collapsed="false">
      <c r="A21" s="28" t="s">
        <v>1329</v>
      </c>
      <c r="B21" s="28"/>
      <c r="C21" s="28"/>
      <c r="D21" s="28"/>
      <c r="E21" s="28"/>
    </row>
    <row r="23" customFormat="false" ht="30" hidden="false" customHeight="true" outlineLevel="0" collapsed="false">
      <c r="A23" s="25" t="s">
        <v>1267</v>
      </c>
      <c r="B23" s="25" t="s">
        <v>1268</v>
      </c>
      <c r="C23" s="25" t="s">
        <v>1269</v>
      </c>
      <c r="D23" s="25" t="s">
        <v>1270</v>
      </c>
      <c r="E23" s="25" t="s">
        <v>1271</v>
      </c>
    </row>
    <row r="24" customFormat="false" ht="42" hidden="false" customHeight="true" outlineLevel="0" collapsed="false">
      <c r="A24" s="26" t="n">
        <v>17</v>
      </c>
      <c r="B24" s="24" t="s">
        <v>1330</v>
      </c>
      <c r="C24" s="24" t="s">
        <v>1331</v>
      </c>
      <c r="D24" s="24" t="s">
        <v>1332</v>
      </c>
      <c r="E24" s="24" t="s">
        <v>1333</v>
      </c>
    </row>
    <row r="25" customFormat="false" ht="42" hidden="false" customHeight="true" outlineLevel="0" collapsed="false">
      <c r="A25" s="27" t="n">
        <v>18</v>
      </c>
      <c r="B25" s="22" t="s">
        <v>1334</v>
      </c>
      <c r="C25" s="22" t="s">
        <v>1335</v>
      </c>
      <c r="D25" s="22" t="s">
        <v>1336</v>
      </c>
      <c r="E25" s="22" t="s">
        <v>1337</v>
      </c>
    </row>
    <row r="26" customFormat="false" ht="42" hidden="false" customHeight="true" outlineLevel="0" collapsed="false">
      <c r="A26" s="26" t="n">
        <v>19</v>
      </c>
      <c r="B26" s="24" t="s">
        <v>1338</v>
      </c>
      <c r="C26" s="24" t="s">
        <v>1339</v>
      </c>
      <c r="D26" s="24" t="s">
        <v>1340</v>
      </c>
      <c r="E26" s="24" t="s">
        <v>1341</v>
      </c>
    </row>
    <row r="27" customFormat="false" ht="42" hidden="false" customHeight="true" outlineLevel="0" collapsed="false">
      <c r="A27" s="27" t="n">
        <v>20</v>
      </c>
      <c r="B27" s="22" t="s">
        <v>1342</v>
      </c>
      <c r="C27" s="22" t="s">
        <v>1343</v>
      </c>
      <c r="D27" s="22" t="s">
        <v>1344</v>
      </c>
      <c r="E27" s="22" t="s">
        <v>1345</v>
      </c>
    </row>
    <row r="28" customFormat="false" ht="42" hidden="false" customHeight="true" outlineLevel="0" collapsed="false">
      <c r="A28" s="26" t="n">
        <v>21</v>
      </c>
      <c r="B28" s="24" t="s">
        <v>1346</v>
      </c>
      <c r="C28" s="24" t="s">
        <v>1347</v>
      </c>
      <c r="D28" s="24" t="s">
        <v>1348</v>
      </c>
      <c r="E28" s="24" t="s">
        <v>1349</v>
      </c>
    </row>
    <row r="29" customFormat="false" ht="42" hidden="false" customHeight="true" outlineLevel="0" collapsed="false">
      <c r="A29" s="27" t="n">
        <v>22</v>
      </c>
      <c r="B29" s="22" t="s">
        <v>1350</v>
      </c>
      <c r="C29" s="22" t="s">
        <v>1351</v>
      </c>
      <c r="D29" s="22" t="s">
        <v>1352</v>
      </c>
      <c r="E29" s="22" t="s">
        <v>1353</v>
      </c>
    </row>
    <row r="30" customFormat="false" ht="42" hidden="false" customHeight="true" outlineLevel="0" collapsed="false">
      <c r="A30" s="26" t="n">
        <v>23</v>
      </c>
      <c r="B30" s="24" t="s">
        <v>1354</v>
      </c>
      <c r="C30" s="24" t="s">
        <v>1355</v>
      </c>
      <c r="D30" s="24" t="s">
        <v>1356</v>
      </c>
      <c r="E30" s="24" t="s">
        <v>1357</v>
      </c>
    </row>
    <row r="31" customFormat="false" ht="42" hidden="false" customHeight="true" outlineLevel="0" collapsed="false">
      <c r="A31" s="27" t="n">
        <v>24</v>
      </c>
      <c r="B31" s="22" t="s">
        <v>1358</v>
      </c>
      <c r="C31" s="22" t="s">
        <v>1359</v>
      </c>
      <c r="D31" s="22" t="s">
        <v>1360</v>
      </c>
      <c r="E31" s="22" t="s">
        <v>1361</v>
      </c>
    </row>
    <row r="32" customFormat="false" ht="42" hidden="false" customHeight="true" outlineLevel="0" collapsed="false">
      <c r="A32" s="26" t="n">
        <v>25</v>
      </c>
      <c r="B32" s="24" t="s">
        <v>1362</v>
      </c>
      <c r="C32" s="24" t="s">
        <v>1363</v>
      </c>
      <c r="D32" s="24" t="s">
        <v>1364</v>
      </c>
      <c r="E32" s="24" t="s">
        <v>1365</v>
      </c>
    </row>
    <row r="33" customFormat="false" ht="42" hidden="false" customHeight="true" outlineLevel="0" collapsed="false">
      <c r="A33" s="27" t="n">
        <v>26</v>
      </c>
      <c r="B33" s="22" t="s">
        <v>1366</v>
      </c>
      <c r="C33" s="22" t="s">
        <v>1367</v>
      </c>
      <c r="D33" s="22" t="s">
        <v>1368</v>
      </c>
      <c r="E33" s="22" t="s">
        <v>1369</v>
      </c>
    </row>
    <row r="34" customFormat="false" ht="42" hidden="false" customHeight="true" outlineLevel="0" collapsed="false">
      <c r="A34" s="26" t="n">
        <v>27</v>
      </c>
      <c r="B34" s="24" t="s">
        <v>1370</v>
      </c>
      <c r="C34" s="24" t="s">
        <v>1371</v>
      </c>
      <c r="D34" s="24" t="s">
        <v>1372</v>
      </c>
      <c r="E34" s="24" t="s">
        <v>1373</v>
      </c>
    </row>
    <row r="35" customFormat="false" ht="42" hidden="false" customHeight="true" outlineLevel="0" collapsed="false">
      <c r="A35" s="27" t="n">
        <v>28</v>
      </c>
      <c r="B35" s="22" t="s">
        <v>1374</v>
      </c>
      <c r="C35" s="22" t="s">
        <v>1375</v>
      </c>
      <c r="D35" s="22" t="s">
        <v>1376</v>
      </c>
      <c r="E35" s="22" t="s">
        <v>1377</v>
      </c>
    </row>
    <row r="36" customFormat="false" ht="42" hidden="false" customHeight="true" outlineLevel="0" collapsed="false">
      <c r="A36" s="26" t="n">
        <v>29</v>
      </c>
      <c r="B36" s="24" t="s">
        <v>1378</v>
      </c>
      <c r="C36" s="24" t="s">
        <v>1379</v>
      </c>
      <c r="D36" s="24" t="s">
        <v>1380</v>
      </c>
      <c r="E36" s="24" t="s">
        <v>1381</v>
      </c>
    </row>
    <row r="37" customFormat="false" ht="42" hidden="false" customHeight="true" outlineLevel="0" collapsed="false">
      <c r="A37" s="27" t="n">
        <v>30</v>
      </c>
      <c r="B37" s="22" t="s">
        <v>1382</v>
      </c>
      <c r="C37" s="22" t="s">
        <v>1383</v>
      </c>
      <c r="D37" s="22" t="s">
        <v>1384</v>
      </c>
      <c r="E37" s="22" t="s">
        <v>1385</v>
      </c>
    </row>
    <row r="38" customFormat="false" ht="15" hidden="false" customHeight="true" outlineLevel="0" collapsed="false">
      <c r="A38" s="9" t="s">
        <v>17</v>
      </c>
      <c r="B38" s="9"/>
      <c r="C38" s="9"/>
      <c r="D38" s="9"/>
      <c r="E38" s="9"/>
    </row>
  </sheetData>
  <mergeCells count="4">
    <mergeCell ref="A1:E1"/>
    <mergeCell ref="A9:E9"/>
    <mergeCell ref="A21:E21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2026-06-24T01:06:43Z</dcterms:created>
  <dc:creator>openpyxl</dc:creator>
  <dc:description/>
  <dc:language>en-US</dc:language>
  <cp:lastModifiedBy/>
  <dcterms:modified xsi:type="dcterms:W3CDTF">2026-06-24T01:06:57Z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